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hough/Desktop/JULIUS/BUS/"/>
    </mc:Choice>
  </mc:AlternateContent>
  <xr:revisionPtr revIDLastSave="0" documentId="8_{25BE1F7F-3DA6-0241-A0BC-D33315E894A3}" xr6:coauthVersionLast="47" xr6:coauthVersionMax="47" xr10:uidLastSave="{00000000-0000-0000-0000-000000000000}"/>
  <bookViews>
    <workbookView xWindow="0" yWindow="600" windowWidth="16380" windowHeight="8200" tabRatio="500" xr2:uid="{00000000-000D-0000-FFFF-FFFF00000000}"/>
  </bookViews>
  <sheets>
    <sheet name="① World &amp; Scenario" sheetId="1" r:id="rId1"/>
    <sheet name="② Canonical Values" sheetId="2" r:id="rId2"/>
    <sheet name="③ Tasks" sheetId="3" r:id="rId3"/>
    <sheet name="④ Artifac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0" i="2" l="1"/>
  <c r="C31" i="2" s="1"/>
  <c r="C26" i="2"/>
  <c r="C21" i="2"/>
</calcChain>
</file>

<file path=xl/sharedStrings.xml><?xml version="1.0" encoding="utf-8"?>
<sst xmlns="http://schemas.openxmlformats.org/spreadsheetml/2006/main" count="1332" uniqueCount="772">
  <si>
    <t>Section</t>
  </si>
  <si>
    <t>Content</t>
  </si>
  <si>
    <t>1.1 Business Context &amp; Parties</t>
  </si>
  <si>
    <t>Domain &amp; business</t>
  </si>
  <si>
    <t>Legal — civil litigation (personal injury / public-entity tort) arising from a public-transit DUI collision. The world supports BOTH plaintiff-side and defense-side work. Core entity: Alder Creek Transit District (ACTD), a California public transit special district and "public entity" under Gov. Code § 811.2, operating fixed-route and late-night "Owl" bus service. The litigation concerns ACTD's exposure for injuries caused by an on-duty operator who drove drunk, struck a City street-light standard (cutting power to the fixture) and a waiting pedestrian, injuring two of three onboard passengers.</t>
  </si>
  <si>
    <t>Company snapshot</t>
  </si>
  <si>
    <t>Alder Creek Transit District (ACTD) — California public transit special district, HQ in the City of Rivergate (Los Angeles County). 41 fixed routes (6 late-night "Owl" routes); fleet of 227 buses; ~640 operators; governed by a 7-member elected Board of Directors. Self-insured to a $2.0M retention with excess coverage through a public-entity risk-sharing pool. External entities: City of Rivergate (owns the struck street-light standard; a separate public entity whose property claim against ACTD is exempt from Government-Claims-Act presentation under Gov. Code § 905 and runs on the ordinary limitations period), Halstead &amp; Cruz LLP (plaintiff), Delfino Marek LLP (ACTD defense), the L.A. County District Attorney (criminal DUI), the Rivergate Police Department (responding/traffic-collision investigating agency), the county crime lab, the California DMV (Keeler's driving-record custodian under ACTD's employer pull-notice program; source of A54), treating hospitals (including Reyes's admitting hospital, Regional Trauma Center), and ACTD's excess risk pool, Medi-Cal/DHCS (collateral-source lienholder), and the plaintiff's private health plan. Also appearing as a named source: the Rivergate Sentinel (the local news outlet that published the initial collision coverage, A10).</t>
  </si>
  <si>
    <t>Key parties &amp; roles</t>
  </si>
  <si>
    <t>By role (see 1.4 for the named register): the Operator (tortfeasor / criminal defendant); Pedestrian (catastrophically injured — marquee plaintiff); two injured Passengers (one serious, one moderate); one uninjured Passenger-Witness; ACTD General Counsel; ACTD Risk/Claims Manager; ACTD Director of Safety; ACTD overnight Dispatch Supervisor; plaintiff's counsel; ACTD defense counsel. (Deputy DA and crime-lab analyst appear as artifact authors under generic role titles, not as named stakeholders.)</t>
  </si>
  <si>
    <t>Agent perspective</t>
  </si>
  <si>
    <t>The world supports TWO agent seats: (1) plaintiff's counsel for the Pedestrian and/or Passengers; (2) ACTD in-house / defense counsel and risk management. Each task bounds the agent to one seat. Neutral artifacts (police report, served claim forms, produced discovery, public criminal-case records, news) are reachable from either seat; each side's privileged work product and internal analysis is walled to its own side and must NOT be commingled in a shared location. Because ACTD is a public entity, its non-privileged operational business records (e.g., the run schedule, AVL/GPS logs) are independently obtainable pre-suit by either side via a California Public Records Act request (Gov. Code § 7920 et seq.), so those specific records count as neutral/produced artifacts even before formal discovery.</t>
  </si>
  <si>
    <t>1.2 Subject Matter</t>
  </si>
  <si>
    <t>The underlying situation</t>
  </si>
  <si>
    <t>At ~2:05 a.m. on Saturday, 10/18/2025, an ACTD Owl-service bus operated by Raymond T. Keeler was running its assigned late-night route through downtown Rivergate carrying three passengers. Keeler, whose shift began the prior evening, was intoxicated; he lost consciousness (blackout/fell asleep), the bus left its lane, struck a City of Rivergate street-light standard — knocking out power to the fixture — then struck Yolanda Reyes, who was waiting at the adjacent bus stop. Reyes sustained catastrophic injuries. Two of three passengers were injured (Devin Cho, serious; Alicia Mowbray, moderate); the third (Terrence Blau) was unhurt and became a key witness.
Officers ran field sobriety and a preliminary breath test; because ACTD is a transit operator, a DOT post-accident test followed (49 CFR Part 655). A confirmed evidentiary BLOOD BAC returned from the county crime lab ~3 weeks later at a HIGHER value than the roadside breath reading. Keeler was charged with DUI causing injury (Veh. Code § 23153); the criminal case has since reached a plea (negligence-per-se hook; admissible disposition).
Internally, an on-scene DRAFT incident report was later superseded by a FINAL supervisor-reviewed report and a safety investigation. A live question — whether the overnight (2 a.m.-hour) run was an AUTHORIZED Owl route (course-and-scope for respondeat superior) — arises because an early dispatch email characterized Keeler as running "off-book," but the official run schedule and the bus's AVL/GPS track place him on his assigned route: on the controlling documents he was within scope, and ACTD's respondeat-superior exposure is real.
Because ACTD is a public entity, all claims run through the Government Claims Act. The two passengers presented timely claims (01/16/2026), which the ACTD Board rejected by mailed notice (02/18/2026), starting their 6-month suit clock. Reyes was catastrophically injured and incapacitated through the acute phase, but her capacity was RESTORED within the six-month window — a temporary conservatorship was terminated (02/05/2026), she personally signed a HIPAA authorization (02/10/2026), and she gave a coherent recorded statement to ACTD's adjuster (02/18/2026). She retained Halstead &amp; Cruz on 03/05/2026 — 46 days before the claim window closed — yet NO timely claim was presented, and the window lapsed (04/20/2026, the six-month accrual date of 04/18/2026 falling on a Saturday and extended under CCP § 12a). Counsel filed a § 911.4 application for leave to present a late claim on 05/15/2026, pending before the Board at the anchor date (§§ 911.4, 911.6, 946.6). Reyes's late-claim relief is therefore genuinely AT RISK — the strict "all of the time" incapacity ground is defeated by the Feb. capacity events, and the excusable-neglect ground is undercut by the early retention. Separately, the City of Rivergate presented a property-damage claim against ACTD for the light standard (02/02/2026), adding a second public entity — whose property claim against ACTD is exempt from Government-Claims-Act presentation (Gov. Code § 905), leaving only the ordinary limitations period — and a comparative-causation thread (the darkened fixture).</t>
  </si>
  <si>
    <t>1.3 The Scenario</t>
  </si>
  <si>
    <t>Precipitating event</t>
  </si>
  <si>
    <t>As of the anchor date, the matter has hit the litigation-decision threshold on both sides at once: Keeler's criminal plea has entered; ACTD's rejection of the passengers' claims has started a 6-month suit clock now ~2 months from expiring (08/18/2026); Reyes's late-claim application is pending toward its own deadlines; she has also filed (05/20/2026) and served (05/22/2026) her own civil complaint (Case No. 26STCV04127) against the District, which does not address her own claim-presentation posture — and ACTD's answer to it falls due just three days after the anchor (06/22/2026, the 30th day after service being a Sunday, extended under CCP § 12a); plaintiff has also served Requests for Production on ACTD (06/08/2026, response due ~07/13/2026); and the City's property claim is open. Deadline, liability, discovery, and settlement decisions are simultaneously on the table for plaintiff's counsel and for ACTD.</t>
  </si>
  <si>
    <t>Scenario summary</t>
  </si>
  <si>
    <t>A drunk ACTD Owl-service operator blacked out at 2 a.m., struck a City street-light and a waiting pedestrian, and injured two of three passengers. Eight months later the passengers' Government-Claims-Act suit deadline is closing, the catastrophically injured pedestrian is fighting to revive a late claim, a second public entity (the City) has its own claim in play, and a criminal DUI plea has landed. Both sides must now compute deadlines that DIFFER by claimant, separate controlling documents from superseded drafts, resolve the course-and-scope question, and value the exposure. The pressure is the calendar: several hard, non-uniform deadlines running at once against catastrophic damages.</t>
  </si>
  <si>
    <t>Anchor "now" date</t>
  </si>
  <si>
    <t>06/18/2026 (Thursday). Every artifact is dated on or before this; every task takes place at or after it.</t>
  </si>
  <si>
    <t>1.4 Stakeholders</t>
  </si>
  <si>
    <t>Overview</t>
  </si>
  <si>
    <t>Twelve people who act, decide, or communicate in this world; each appears in ≥1 artifact and ≥1 task. Fictional names, web-checked (no real person/public-figure match). The "Parties in this world" list (col H) defines the Organization/party options.</t>
  </si>
  <si>
    <t>ID</t>
  </si>
  <si>
    <t>Name</t>
  </si>
  <si>
    <t>Job title</t>
  </si>
  <si>
    <t>Communication style</t>
  </si>
  <si>
    <t>One-sentence description</t>
  </si>
  <si>
    <t>Internal / External</t>
  </si>
  <si>
    <t>Organization / party</t>
  </si>
  <si>
    <t>Parties in this world</t>
  </si>
  <si>
    <t>S1</t>
  </si>
  <si>
    <t>Raymond T. Keeler</t>
  </si>
  <si>
    <t>ACTD Bus Operator (Owl service)</t>
  </si>
  <si>
    <t>Terse, defensive</t>
  </si>
  <si>
    <t>On-duty operator who drove intoxicated, blacked out, and struck the light standard and the pedestrian; DUI criminal defendant.</t>
  </si>
  <si>
    <t>Internal</t>
  </si>
  <si>
    <t>Alder Creek Transit District</t>
  </si>
  <si>
    <t>Alder Creek Transit District (ACTD)</t>
  </si>
  <si>
    <t>S2</t>
  </si>
  <si>
    <t>Yolanda Reyes</t>
  </si>
  <si>
    <t>Pedestrian (retail worker)</t>
  </si>
  <si>
    <t>Plain, sympathetic</t>
  </si>
  <si>
    <t>Catastrophically injured pedestrian struck at the bus stop; marquee plaintiff; filed a late-claim application after months of incapacity.</t>
  </si>
  <si>
    <t>External</t>
  </si>
  <si>
    <t>Plaintiff (Reyes)</t>
  </si>
  <si>
    <t>City of Rivergate</t>
  </si>
  <si>
    <t>S3</t>
  </si>
  <si>
    <t>Devin Cho</t>
  </si>
  <si>
    <t>Passenger (nursing student)</t>
  </si>
  <si>
    <t>Cooperative, detailed</t>
  </si>
  <si>
    <t>Seriously injured onboard passenger; timely Government Claims Act claimant.</t>
  </si>
  <si>
    <t>Plaintiff (passengers)</t>
  </si>
  <si>
    <t>S4</t>
  </si>
  <si>
    <t>Alicia Mowbray</t>
  </si>
  <si>
    <t>Passenger (home health aide)</t>
  </si>
  <si>
    <t>Brief</t>
  </si>
  <si>
    <t>Moderately injured onboard passenger; timely claimant.</t>
  </si>
  <si>
    <t>S5</t>
  </si>
  <si>
    <t>Terrence Blau</t>
  </si>
  <si>
    <t>Passenger (line cook)</t>
  </si>
  <si>
    <t>Candid, informal</t>
  </si>
  <si>
    <t>Uninjured third passenger; key eyewitness to the operator's condition and the sequence of events.</t>
  </si>
  <si>
    <t>Witness</t>
  </si>
  <si>
    <t>Halstead &amp; Cruz LLP (plaintiff's counsel)</t>
  </si>
  <si>
    <t>S6</t>
  </si>
  <si>
    <t>Nora Halstead</t>
  </si>
  <si>
    <t>Partner, Halstead &amp; Cruz LLP</t>
  </si>
  <si>
    <t>Formal &amp; precise</t>
  </si>
  <si>
    <t>Lead plaintiff's attorney for the pedestrian and passengers; drives claims, deadlines, and discovery.</t>
  </si>
  <si>
    <t>Delfino Marek LLP (defense counsel)</t>
  </si>
  <si>
    <t>S7</t>
  </si>
  <si>
    <t>Diane Farkas</t>
  </si>
  <si>
    <t>ACTD General Counsel</t>
  </si>
  <si>
    <t>In-house lead directing the District's defense and privilege posture; retains and instructs outside counsel.</t>
  </si>
  <si>
    <t>County of Los Angeles District Attorney</t>
  </si>
  <si>
    <t>S8</t>
  </si>
  <si>
    <t>Gordon Espinoza</t>
  </si>
  <si>
    <t>ACTD Risk &amp; Claims Manager</t>
  </si>
  <si>
    <t>Measured, guarded</t>
  </si>
  <si>
    <t>Senior claims decision-maker; sets reserves, signs the claim-rejection notices, owns the claims file.</t>
  </si>
  <si>
    <t>Los Angeles County Superior Court</t>
  </si>
  <si>
    <t>S9</t>
  </si>
  <si>
    <t>Marlene Okonkwo</t>
  </si>
  <si>
    <t>ACTD Director of Safety</t>
  </si>
  <si>
    <t>Formal, factual</t>
  </si>
  <si>
    <t>Authored the final incident report and internal investigation; determines the course-and-scope finding.</t>
  </si>
  <si>
    <t>S10</t>
  </si>
  <si>
    <t>Wesley Tran</t>
  </si>
  <si>
    <t>ACTD Dispatch Supervisor (overnight)</t>
  </si>
  <si>
    <t>Informal, hurried</t>
  </si>
  <si>
    <t>On-duty supervisor who wrote the on-scene draft report and the early "off-book" email later contradicted by the run schedule.</t>
  </si>
  <si>
    <t>S11</t>
  </si>
  <si>
    <t>Marisol Vega</t>
  </si>
  <si>
    <t>Partner, Delfino Marek LLP (retained outside defense counsel)</t>
  </si>
  <si>
    <t>Measured, strategic</t>
  </si>
  <si>
    <t>Retained outside litigation counsel for ACTD; instructed by General Counsel Farkas; attorney of record on the District's court filings, discovery responses, and litigation strategy — the named author-seat for defense-drafted material.</t>
  </si>
  <si>
    <t>S12</t>
  </si>
  <si>
    <t>Kendra Briggs</t>
  </si>
  <si>
    <t>ACTD Junior Claims Adjuster</t>
  </si>
  <si>
    <t>Tentative, by-the-book</t>
  </si>
  <si>
    <t>Early-assigned junior adjuster whose initial $250,000 reserve, set on limited pre-lab facts, was later superseded by the senior claims manager's reserve.</t>
  </si>
  <si>
    <t>1.5 Key Facts  (LIGHT — no fact ledger; heavy values register on ② Canonical Values)</t>
  </si>
  <si>
    <t>What is fixed (and why)</t>
  </si>
  <si>
    <t>DATES/PLACE — Accident: Sat 10/18/2025, ~02:05 a.m., downtown Rivergate, L.A. County. Anchor "now": 06/18/2026.
OPERATOR/SCOPE — Raymond T. Keeler on assigned ACTD Owl Route 512, on shift since prior evening. Course-and-scope: official run schedule + AVL place him on his assigned route → WITHIN scope; the early dispatch "off-book" email does not control; the official schedule and AVL govern.
BAC — preliminary roadside breath (PBT) = 0.11% at ~02:15 a.m.; confirmed evidentiary BLOOD draw = 0.14%, collected ~03:10 a.m. and lab-reported 11/07/2025 (A04/A50); DOT post-accident test begins ~04:10 a.m. (screening 0.098 g/210L), with confirmation ~04:25 a.m. = 0.100 g/210L (A05, a compliance specimen under 49 CFR Part 655, administered after Keeler's 02:35 arrest via BAT/RPD coordinated custody access — see A05). Lab blood result controls (negligence per se, Veh. Code §§ 23152/23153) because it is the certified, chain-of-custody forensic specimen — not because it is the most recent reading; the DOT breath is administered later still and reads lower, and is not the controlling sample for the negligence-per-se BAC.
PASSENGERS — exactly 3 aboard per bus APC/farebox log: Cho (serious), Mowbray (moderate), Blau (uninjured witness). Early dispatch/news references to "several passengers" are imprecise; the APC/app-data count controls.
REYES INCAPACITY / LATE-CLAIM (the P3 fight) — 6-month claim window = 10/18/2025–04/20/2026 (six months is 04/18/2026, a Saturday; extended to the next non-holiday, Monday 04/20/2026, under CCP § 12a). Hard-incapacity core (unarguable): 10/18/2025–~12/22/2025 (airlift, ICU, TBI/diffuse axonal injury, pelvic + bilateral leg fractures, induced coma, post-traumatic amnesia). Contested tail (12/22/2025–04/20/2026): inpatient rehab showing STEADY, one-directional cognitive recovery to restored capacity (per A25 serial rehab/neuropsych records) — 'contested' only as the ground plaintiff will argue, not a fluctuation in the records. Capacity-ADVERSE facts inside the window (defeat § 911.6(b)(4) "all of the time"): temp conservatorship GRANTED 11/10/2025, TERMINATED 02/05/2026 (physician cert. of restored capacity); Reyes personally signs HIPAA auth 02/10/2026; Reyes gives coherent recorded statement to ACTD adjuster 02/18/2026. RETENTION — Halstead &amp; Cruz retained 03/05/2026 (46 days before window close); NO timely claim filed; window lapsed 04/20/2026 → attorney neglect generally INEXCUSABLE (§ 911.6(b)(1)). § 911.4 application filed 05/15/2026; pending at anchor (45-day deemed-denial 06/29/2026; § 946.6 petition deadline 12/29/2026). CORRECT answer: relief materially AT RISK, not the slam-dunk the sympathetic facts imply.
CLAIMS-ACT DEADLINES (passengers, controlling) — presented 01/16/2026; rejection MAILED 02/18/2026; suit deadline 08/18/2026 (reject + 6 mo, § 945.6(a)(1)) — NOT accrual + 2 yr (10/18/2027 applies only absent notice, and a notice was sent).
SECOND ENTITY — City of Rivergate owns the struck light standard; City property-damage demand submitted 02/02/2026 — but as a public entity the City is EXEMPT from Government-Claims-Act presentation (Gov. Code § 905), so no presentation clock runs and its remedy is the ordinary 3-yr real-property SOL (Code Civ. Proc. § 338(b)); darkened fixture = comparative-causation thread.
REPORTS — on-scene DRAFT (10/18/2025, Tran) superseded by FINAL (12/01/2025, Okonkwo); final controls time/location/count.
DAMAGES (the P4 fight; Howell/Corenbaum control) — billed medical charges (chargemaster) in file ≈ $2,840,000 (inflated relative to what was actually paid, and not the Howell-recoverable figure); amount actually paid/accepted per EOBs ≈ $196,000 = the Howell-recoverable past medical; Medi-Cal/DHCS lien asserted ≈ $142,000 (low vs billed; subject to Ahlborn / W&amp;I § 14124.76 reduction, confirming the paid figure and reducing net-to-client recovery). Life-care plan future medical (undiscounted) ≈ $6,480,000 → present value = $4,240,000 (per A36 economic appendix; level annuity $180K/yr × 36 yr @ 2.5%); billed rates inadmissible to prove future (Corenbaum). Lost earning capacity ≈ $1,200,000 (PV). Noneconomic — no general CA cap (public-entity PI, not MICRA); reasoned range. CORRECT: past medical = PAID (~$196K) NOT billed (~$2.84M); discount future to PV; net the lien; apply comparative fault; note the public entity's potential Gov. Code § 985 post-verdict collateral-source reduction (a defense-invoked reduction of NET recovery; Medi-Cal is an included collateral source).
CRIMINAL/INSURANCE — Keeler charged Veh. Code § 23153; plea entered pre-anchor. ACTD self-insured to $2.0M retention, excess via public-entity risk pool; senior Claims-Manager reserve supersedes junior adjuster's initial liability note (the later, senior-authored figure controls).</t>
  </si>
  <si>
    <t>Builder decisions</t>
  </si>
  <si>
    <t>NOT fixed — pipeline may choose: exact street/intersection in downtown Rivergate; treating-provider names; specific special-damages dollar figures for the passengers (register final figures on ② Canonical Values once set); the excess risk pool's name; judicial assignment; exact medical-record pagination. These are inputs for the build, not key facts.</t>
  </si>
  <si>
    <t>1.6 Style / House Conventions</t>
  </si>
  <si>
    <t>Style guide</t>
  </si>
  <si>
    <t>COURT — all pleadings caption to "SUPERIOR COURT OF THE STATE OF CALIFORNIA, COUNTY OF LOS ANGELES"; civil case-number format: LASC Central/Stanley Mosk, 2026 civil (prefix '26STCV' + five digits); the Reyes matter is assigned Case No. 26STCV04127; 28-line pleading paper, Times New Roman 12 for court filings.
LETTERHEAD — "ALDER CREEK TRANSIT DISTRICT — A Public Agency," Rivergate address; "CITY OF RIVERGATE" for City docs.
GOV. CLAIMS — administrative claims use the standard California claim-against-public-entity format with the Gov. Code § 910 required contents.
DEFINED TERMS — "the District" (ACTD); "the Operator" (Keeler); "the City" (Rivergate); "the Collision"; "the Claimants."
PRIVILEGE LEGEND on defense work product: "ATTORNEY–CLIENT PRIVILEGED / ATTORNEY WORK PRODUCT — PREPARED IN ANTICIPATION OF LITIGATION." The legend is generated on the face of documents styled as defense work product; its presence is a drafting convention, not a legal conclusion — whether a given document is actually protected still turns on authorship and timing under CCP § 2018.030 (an attorney's writing reflecting impressions/theories, or material an attorney directed in anticipation of litigation), so a stamped document is not automatically privileged and an unstamped one is not automatically discoverable.
DATES MM/DD/YYYY; times a.m./p.m.
WORKED EXAMPLE (caption block):  Halstead &amp; Cruz LLP  |  Nora Halstead (SBN 369314)  |  Attorneys for Plaintiff YOLANDA REYES  ‖  SUPERIOR COURT OF THE STATE OF CALIFORNIA, COUNTY OF LOS ANGELES  ‖  YOLANDA REYES, Plaintiff, v. ALDER CREEK TRANSIT DISTRICT; RAYMOND T. KEELER; and DOES 1–50, Defendants.  |  Case No. 26STCV04127  |  COMPLAINT FOR DAMAGES.</t>
  </si>
  <si>
    <t>1.7 Milestones</t>
  </si>
  <si>
    <t>Milestone dates</t>
  </si>
  <si>
    <t>10/18/2025 (Sat) — Accident, ~2:05 a.m.; prelim breath BAC, EMS, police, DOT post-accident test, DRAFT incident report.
11/07/2025 (Fri) — Lab-confirmed BLOOD BAC returns (0.14%, controlling; drawn ~03:10 a.m. on 10/18/2025).
11/10/2025 (Mon) — Temporary conservatorship of Reyes GRANTED (acute incapacity).
11/21/2025 (Fri) — Internal investigation / course-and-scope finding.
12/01/2025 (Mon) — FINAL supervisor-reviewed incident report (supersedes draft).
~12/22/2025 — Reyes discharged from acute care to inpatient rehab (contested-tail begins).
01/16/2026 (Fri) — Two passengers present Government Claims Act claims.
02/02/2026 (Mon) — City of Rivergate light-post property-damage claim.
02/05/2026 (Thu) — Reyes conservatorship TERMINATED (physician cert. of restored capacity).
02/10/2026 (Tue) — Reyes personally signs HIPAA authorization.
02/18/2026 (Wed) — ACTD rejection of passengers' claims MAILED (starts 6-mo suit clock); SAME DAY Reyes gives coherent recorded statement to ACTD adjuster.
03/05/2026 (Thu) — Reyes RETAINS Halstead &amp; Cruz (46 days before window close).
04/20/2026 (Mon) — Reyes's 6-month timely-claim window closes with no claim presented (six months from accrual is 04/18/2026, a Saturday; extended to the next non-holiday under CCP § 12a); the passengers' 6-month claim-presentation window (from accrual) also closes on the same extended date, though the passengers had already presented their claims on 01/16/2026.
05/15/2026 (Fri) — Counsel files Reyes § 911.4 late-claim application + declaration.
05/20/2026 (Wed) — Reyes files a civil complaint against ACTD &amp; Keeler (Case No. 26STCV04127); her § 911.4 late-claim application remains pending before the Board.
05/22/2026 (Fri) — Reyes serves the complaint (A61) on ACTD.
06/08/2026 (Mon) — Plaintiff serves Requests for Production, Set One (A44) on ACTD — lawful under CCP § 2031.020(b) (the 10-day bar following the 05/22/2026 service of the summons on ACTD clears 06/01/2026); response due ~07/13/2026 (CCP § 2031.260, 30 days after service, plus 5 days for service by mail under CCP § 1013).
06/18/2026 (Thu) — ANCHOR "NOW" (Reyes late-claim application pending before Board).
06/22/2026 (Mon) — ACTD's Answer to Reyes's complaint (A61) falls due (30 days after the 05/22/2026 service; the 30th day, 06/21/2026, is a Sunday, extended under CCP § 12a) — a live deadline three days after the anchor (T8).
06/29/2026 (Mon) — Reyes late-claim 45-day deemed-denial point (§ 911.6(c)).
08/18/2026 (Tue) — Passengers' suit-filing deadline: rejection mailed 02/18/2026 + 6 months (§ 945.6(a)(1)); 61 days from the anchor. Because a rejection notice was mailed, this 6-month period governs; the accrual-plus-two-years date (10/18/2027) applies only where no notice is given (§ 945.6(a)(2)).
10/19/2026 (Mon) — Reyes 1-yr late-claim outer limit (§ 911.4) (one year from accrual is 10/18/2026, a Sunday; extended to the next non-holiday under CCP § 12a).
12/29/2026 (Tue) — Reyes § 946.6 court-petition deadline (6 mo from deemed denial).</t>
  </si>
  <si>
    <t>Value name</t>
  </si>
  <si>
    <t>Type</t>
  </si>
  <si>
    <t>Value</t>
  </si>
  <si>
    <t>Source artifact (ID)</t>
  </si>
  <si>
    <t>Must match (IDs)</t>
  </si>
  <si>
    <t>Note</t>
  </si>
  <si>
    <t>Thin value layer — load-bearing numbers ONLY (not a fact ledger). Each value: its exact figure, the source-of-truth artifact, and every artifact that must carry it. Validator flags any 'must match' artifact whose description omits the value. Full date chain lives in 1.7 Milestones; only load-bearing dates registered here. Trap-typed rows below are the canonical definition for every Threshold Key referenced on the ④ Artifacts sheet's Threshold Key column -- each trap-bearing artifact's key must match a Value name here. For a 'must match' artifact that is App Data (e.g., A11, A12, A14, A15, A16, A17), the validator checks the generated AppData content against the ③ Tasks description that specifies it, not the ④ Artifacts sheet (which no longer describes App Data).</t>
  </si>
  <si>
    <t>Confirmed blood BAC</t>
  </si>
  <si>
    <t>Fact</t>
  </si>
  <si>
    <t>A04</t>
  </si>
  <si>
    <t>A02, A06</t>
  </si>
  <si>
    <t>Controlling; negligence per se (Veh.C. §§23152/23153).</t>
  </si>
  <si>
    <t>Roadside breath BAC</t>
  </si>
  <si>
    <t>Trap</t>
  </si>
  <si>
    <t>A01</t>
  </si>
  <si>
    <t>—</t>
  </si>
  <si>
    <t>Trap; blood (A04) wins — certified chain-of-custody forensic specimen, not because it is the later reading. Not a match target.</t>
  </si>
  <si>
    <t>Passengers aboard</t>
  </si>
  <si>
    <t>A11</t>
  </si>
  <si>
    <t>A02</t>
  </si>
  <si>
    <t>Cho (serious), Mowbray (moderate), Blau (witness). APC/farebox controls; 2 injured, 1 witness.</t>
  </si>
  <si>
    <t>"Several passengers"</t>
  </si>
  <si>
    <t>vague count</t>
  </si>
  <si>
    <t>A10</t>
  </si>
  <si>
    <t>Trap; APC (A11)=3 wins. Not a match target.</t>
  </si>
  <si>
    <t>Assigned route / course-and-scope</t>
  </si>
  <si>
    <t>Owl Route 512 — within scope</t>
  </si>
  <si>
    <t>A08</t>
  </si>
  <si>
    <t>A02, A12</t>
  </si>
  <si>
    <t>Run schedule + AVL; respondeat superior attaches.</t>
  </si>
  <si>
    <t>"Off-book" characterization</t>
  </si>
  <si>
    <t>off-book / unauthorized</t>
  </si>
  <si>
    <t>A09, A52</t>
  </si>
  <si>
    <t>Trap; run schedule (A08) + AVL (A12) win. Also carried in A52 (Tran personal-phone thread). Not a match target.</t>
  </si>
  <si>
    <t>Incident report of record</t>
  </si>
  <si>
    <t>Final 12/01/2025 (Okonkwo)</t>
  </si>
  <si>
    <t>Draft (A03) superseded; final controls time/location/count.</t>
  </si>
  <si>
    <t>Billed medical charges (chargemaster)</t>
  </si>
  <si>
    <t>A34</t>
  </si>
  <si>
    <t>A15</t>
  </si>
  <si>
    <t>Lure; Howell/Corenbaum — paid (A35) wins. Not the recoverable figure.</t>
  </si>
  <si>
    <t>Paid past medical</t>
  </si>
  <si>
    <t>A35</t>
  </si>
  <si>
    <t>Howell-recoverable past medical; stated on lien/EOB letter (A35).</t>
  </si>
  <si>
    <t>Medical lien (reduced)</t>
  </si>
  <si>
    <t>Negotiated reduction of the $196K stated on same letter (A35); drives net-to-client.</t>
  </si>
  <si>
    <t>Future medical — undiscounted</t>
  </si>
  <si>
    <t>A36</t>
  </si>
  <si>
    <t>Lure; must be reduced to PV (see present-value row, C26) — not the recoverable future-medical figure. Billed rates inadmissible (Corenbaum).</t>
  </si>
  <si>
    <t>Lost earning capacity (PV)</t>
  </si>
  <si>
    <t>A37</t>
  </si>
  <si>
    <t>Reyes retail worker, age 34 at accident.</t>
  </si>
  <si>
    <t>Initial reserve</t>
  </si>
  <si>
    <t>A42</t>
  </si>
  <si>
    <t>A16</t>
  </si>
  <si>
    <t>Trap; also carried in the reserve ledger (A16); superseded by senior reserve (A43).</t>
  </si>
  <si>
    <t>Controlling reserve</t>
  </si>
  <si>
    <t>A43</t>
  </si>
  <si>
    <t>Senior/later wins. INTENDED ISSUE: inadequate — PV future alone (~$4.24M) exceeds it.</t>
  </si>
  <si>
    <t>Self-insured retention</t>
  </si>
  <si>
    <t>A48</t>
  </si>
  <si>
    <t>Excess via public-entity risk pool.</t>
  </si>
  <si>
    <t>Accident / accrual date</t>
  </si>
  <si>
    <t>Anchors all deadline math.</t>
  </si>
  <si>
    <t>Rejection mailed date</t>
  </si>
  <si>
    <t>A39</t>
  </si>
  <si>
    <t>A14</t>
  </si>
  <si>
    <t>Starts passengers' 6-mo suit clock.</t>
  </si>
  <si>
    <t>Reyes retention date</t>
  </si>
  <si>
    <t>A30</t>
  </si>
  <si>
    <t>A33</t>
  </si>
  <si>
    <t>46 days before window close — the neglect-adverse fact.</t>
  </si>
  <si>
    <t>Passengers' suit-filing deadline</t>
  </si>
  <si>
    <t>reject+6mo (§945.6(a)(1)); derived from A39 mail date.</t>
  </si>
  <si>
    <t>Wrong suit deadline (accrual+2yr)</t>
  </si>
  <si>
    <t>A41</t>
  </si>
  <si>
    <t>Trap; applies only absent notice — a notice was sent, so 08/18/2026 wins.</t>
  </si>
  <si>
    <t>Collision time</t>
  </si>
  <si>
    <t>02:05 a.m.</t>
  </si>
  <si>
    <t>Controlling per final report (A02); draft (A03) shows 02:20.</t>
  </si>
  <si>
    <t>Future medical — discount rate</t>
  </si>
  <si>
    <t>Stated in A36's present-value section (authoritative). The task uses the PV; the agent must apply the discounted figure, not the undiscounted total.</t>
  </si>
  <si>
    <t>Future medical — annual cost</t>
  </si>
  <si>
    <t>Equals $6,480,000 / 36-yr horizon (level annuity for PV).</t>
  </si>
  <si>
    <t>Future medical — present value</t>
  </si>
  <si>
    <t>Authoritative in A36's economic appendix: PV = level annuity ($180,000/yr) over 36 yrs at 2.5% = $4,240,000. Computed here as a level annuity from typed inputs (annual C25, rate C24, horizon C29), rounded to the nearest $1,000. FAILURE mode: using the $6,480,000 undiscounted total.</t>
  </si>
  <si>
    <t>Draft incident report (superseded)</t>
  </si>
  <si>
    <t>draft 10/18/2025</t>
  </si>
  <si>
    <t>A03</t>
  </si>
  <si>
    <t>TRAP: draft vs final; FINAL (A02) wins on time/location/passenger count.</t>
  </si>
  <si>
    <t>Lumped claimant deadline</t>
  </si>
  <si>
    <t>one date for all claimants</t>
  </si>
  <si>
    <t>A41, A62</t>
  </si>
  <si>
    <t>TRAP: single lumped deadline masks the per-claimant split; per-claimant computation governs.</t>
  </si>
  <si>
    <t>Future medical — horizon (years)</t>
  </si>
  <si>
    <t>36-yr life-care horizon; nper for the present-value annuity.</t>
  </si>
  <si>
    <t>Reyes claim-window close date</t>
  </si>
  <si>
    <t>Accrual (10/18/2025) + 6 months = 04/18/2026 (Sat); extended to the next non-holiday under CCP § 12a. Reyes's 6-month timely-claim window closes.</t>
  </si>
  <si>
    <t>Retention→window-close interval (days)</t>
  </si>
  <si>
    <t>Derived: window-close (C30) − retention (C20) = 46 days; the runway counsel had after the 03/05/2026 retention. Recompute if either date changes.</t>
  </si>
  <si>
    <t>A42 privilege-legend accuracy</t>
  </si>
  <si>
    <t>stamped privileged, not in fact protected</t>
  </si>
  <si>
    <t>A17</t>
  </si>
  <si>
    <t>Lure; A42 is a non-attorney employee's ordinary-course, pre-litigation (10/28/2025) note — CCP § 2018.030 work product attaches to an attorney's writing (or material an attorney directed). The legend on its face does not control; A43 (routed to counsel, post-scope-finding) is properly privileged and withheld. A17's first-pass tags should not be relied on without independent review.</t>
  </si>
  <si>
    <t>Blood-draw collection time</t>
  </si>
  <si>
    <t>~03:10 a.m.</t>
  </si>
  <si>
    <t>A50</t>
  </si>
  <si>
    <t>Places the evidentiary draw between the roadside PBT (~02:15 a.m.) and the DOT test (screening ~04:10 a.m., confirmation ~04:25 a.m.) on a physiologically plausible curve. Blood controls because it is the certified, chain-of-custody forensic specimen (see A50) — not because it is the later reading; the DOT confirmation, though administered later still (~04:25 a.m.), reads lower (0.100 g/210L) and is a compliance specimen, not the controlling evidentiary sample for negligence per se.</t>
  </si>
  <si>
    <t>Conservatorship termination date (capacity-adverse)</t>
  </si>
  <si>
    <t>restored capacity certified 02/05/2026 — inside the 6-month window</t>
  </si>
  <si>
    <t>A27</t>
  </si>
  <si>
    <t>Court-ordered restoration of capacity dated inside the claim window defeats §911.6(b)(4) 'all of the time' — easy to overlook amid the catastrophic-injury narrative; A33's declaration must address it.</t>
  </si>
  <si>
    <t>Reyes HIPAA signature date (capacity-adverse)</t>
  </si>
  <si>
    <t>personally signed 02/10/2026 — inside the window</t>
  </si>
  <si>
    <t>A28</t>
  </si>
  <si>
    <t>Personal (non-conservator) signature evidences transactional capacity inside the window — capacity-adverse; must be addressed in A33's incapacity declaration, not omitted.</t>
  </si>
  <si>
    <t>Reyes recorded-statement date (capacity-adverse)</t>
  </si>
  <si>
    <t>coherent pro se statement given 02/18/2026 — inside the window</t>
  </si>
  <si>
    <t>A29</t>
  </si>
  <si>
    <t>A coherent, pro se recorded statement inside the window is capacity-adverse evidence; easy to miss since it sits in the plaintiff's own file, not ACTD's.</t>
  </si>
  <si>
    <t>Reyes retention-to-window-close gap (neglect trap)</t>
  </si>
  <si>
    <t>46-day runway not used to present a claim</t>
  </si>
  <si>
    <t>Counsel retained with 46 days still on the clock and no claim was presented — undercuts excusable neglect under §911.6(b)(1); companion to the retention-date Fact (row 20).</t>
  </si>
  <si>
    <t>Halstead &amp; Cruz intake-memo delay rationale (neglect trap)</t>
  </si>
  <si>
    <t>held claim to assemble complete medical records — a calendaring choice, not an external obstacle</t>
  </si>
  <si>
    <t>A31</t>
  </si>
  <si>
    <t>The firm's own stated reason for the delay is an ordinary internal scheduling choice, not excusable neglect — makes (b)(1) relief harder to support, not easier.</t>
  </si>
  <si>
    <t>Treating-physician 'much of' hedge (capacity-adverse)</t>
  </si>
  <si>
    <t>opines incapacity for 'much of' the period, not the entire window</t>
  </si>
  <si>
    <t>A32</t>
  </si>
  <si>
    <t>The physician's own qualifier concedes the (b)(4) 'all of the time' gap rather than closing it — an honest but adverse hedge that a sympathetic read can miss.</t>
  </si>
  <si>
    <t>Controlling reserve adequacy (under-set trap)</t>
  </si>
  <si>
    <t>$3.25M reserve set, but PV future medical alone (~$4.24M) already exceeds it</t>
  </si>
  <si>
    <t>The senior/controlling reserve (row 16) looks authoritative because it supersedes the junior note, but it is itself inadequate against true exposure — a distinct trap from the stale-vs-controlling comparison.</t>
  </si>
  <si>
    <t>Task #</t>
  </si>
  <si>
    <t>Task Name</t>
  </si>
  <si>
    <t>Workflow Type</t>
  </si>
  <si>
    <t>Primary Artifacts</t>
  </si>
  <si>
    <t>Design Purpose (judgment fork — state the correct answer)</t>
  </si>
  <si>
    <t>Expected Output</t>
  </si>
  <si>
    <t>Trap: What Misleads</t>
  </si>
  <si>
    <t>Trap: How Agent Fails</t>
  </si>
  <si>
    <t>Trap: Remediation Path</t>
  </si>
  <si>
    <t>Both-seat PI / public-entity world. Incident core (A01–A13) recurs across most tasks; Reyes clusters (A21–A37) feed T3/T4. Each task is a judgment fork where the profession-correct answer diverges from the sympathetic or most-recent-looking one. 5 P0 hard anchors: T1, T2, T3, T5, T6. Every task also incorporates at least one App Data touchpoint (A11–A62, mostly read-only) and both of the world's designated apps (Docuseal, Wiki.js), described directly in each task's own text. Nine of ten tasks (all but T3) require a Docuseal state-change (Create Submission, Archive Submission, or Update Submitter) as part of the deliverable; T3 additionally requires a Wiki.js page correction (Update Page) as part of its own trap.</t>
  </si>
  <si>
    <t>T1</t>
  </si>
  <si>
    <t>Controlling-deadline memo (all three claimants)</t>
  </si>
  <si>
    <t>P0 — PI litigation (plaintiff)</t>
  </si>
  <si>
    <t>A38, A39, A41, A33, A62</t>
  </si>
  <si>
    <t>Passengers' suit deadline = 08/18/2026 (reject+6mo, §945.6(a)(1)); Reyes is on a separate late-claim/§946.6 track. Correct: three claimants (Reyes, Cho, Mowbray), one controlling suit date per claimant, all computable from the served rejection notice and the plaintiff's own filings. Before finalizing the memo, pull the matter record for the Reyes/Cho/Mowbray v. ACTD file from Halstead &amp; Cruz's own practice-management system (A62) — it currently carries a single case-level 'suit deadline' field of 10/18/2027 (the same wrong accrual+2yr basis reflected in the exported docket entry, A41), applied uniformly to all three claimants.</t>
  </si>
  <si>
    <t>Deadline memo (DOCX) with a per-claimant calendar, plus a correction entered directly into the firm's own practice-management system (A62): replace the single case-level 'suit deadline' field with three separate, correctly computed entries (Cho/Mowbray: 08/18/2026 suit-filing deadline; Reyes: no suit-filing-deadline entry — cross-referenced instead to her own §911.4/§946.6 track and dates; a note that the City's remedy runs on the ordinary 3-year real-property SOL, not a presentation deadline). The memo's deadline-calculation approach is confirmed against the firm's internal Wiki Js playbook page on computing mixed claimant deadlines, and the finalized memo plus corrected calendar entries are routed through Docuseal for Nora Halstead's signature.</t>
  </si>
  <si>
    <t>The plaintiff's own docket entry (A41) — and the live matter record in the firm's own practice-management system (A62) it was exported from — compute accrual+2yr = 10/18/2027 as a single case-wide deadline, so it is tempting to apply that one date to all three claimants.</t>
  </si>
  <si>
    <t>Agent adopts 10/18/2027 or a single deadline for all three claimants, or drafts the memo correctly but leaves the firm's own practice-management system (A62) uncorrected.</t>
  </si>
  <si>
    <t>Read the served rejection notice (A39): a mailed notice triggers reject+6mo, not accrual+2yr. Split Reyes onto the §911.4/§946.6 track using the plaintiff's own claim forms (A38) and late-claim application (A33). Then open the firm's own practice-management system (A62) — not any ACTD-side system — and correct the case-level deadline field into the three claimant-specific entries so the firm's own calendar reflects the same split as the memo. Required: confirm the split against the firm's internal Wiki Js playbook page on computing mixed claimant deadlines before finalizing, then route the finished memo and corrected A62 entries through Docuseal for Halstead's signature.</t>
  </si>
  <si>
    <t>T2</t>
  </si>
  <si>
    <t>Complaint for Damages v. ACTD + Keeler (Passengers — Cho &amp; Mowbray)</t>
  </si>
  <si>
    <t>A01, A04, A06, A07, A10, A46, A08, A12, A11, A56</t>
  </si>
  <si>
    <t>Draft, on behalf of passengers Devin Cho and Alicia Mowbray (who have not yet filed suit; their own §945.6 suit deadline is 08/18/2026), a complaint for damages against ACTD and Keeler — no case number is yet assigned (case numbers are stamped upon filing); use the LASC caption format from the 1.6 style guide. Plead negligence, negligence per se (Veh.C. §23153 + blood BAC 0.14%), and respondeat superior (Gov.C. §815.2). Correct parties: 3 aboard/2 injured (ACTD's fare/APC system export (A11) is the passenger-count source of truth, A01 police report corroborates); Keeler on assigned route (A08 run schedule is the course-and-scope source of truth, the CAD/AVL system's GPS track (A12) corroborates) → District liable.</t>
  </si>
  <si>
    <t>Complaint for Damages (DOCX), LASC caption, unfiled draft (no case number yet), drafted against the firm's internal Wiki Js pleading-standards page; the earlier draft's Docuseal review submission is archived once superseded, and the corrected complaint is routed through Docuseal for the attorney-of-record's signature.</t>
  </si>
  <si>
    <t>The police report's roadside breath reading (0.11%) and the news account's 'several passengers' are the easy figures to plead.</t>
  </si>
  <si>
    <t>Agent pleads the 0.11% breath BAC, a wrong passenger count, or hedges respondeat superior.</t>
  </si>
  <si>
    <t>Plead the blood BAC (A04/A06 = 0.14%) over the police roadside breath (A01 = 0.11%); plead 3 aboard / 2 injured from ACTD's fare/APC system export (A11), the passenger-count source of truth — corroborated by the police party list (A01) — over the news account's 'several' (A10); corroborate with the witness statement (A46); plead respondeat superior on the run schedule (A08), the controlling course-and-scope source, with the CAD/AVL system's GPS track (A12) as corroboration — both obtained pre-suit via a Public Records Act request, not opposing-party discovery. Required: confirm the pleading approach (caption format, respondeat superior theory) against the firm's internal Wiki Js pleading-standards page; once the corrected complaint is ready, archive the earlier draft's Docuseal review submission and route the corrected version through Docuseal for the attorney-of-record's signature.</t>
  </si>
  <si>
    <t>T3</t>
  </si>
  <si>
    <t>Late-claim relief assessment &amp; strategy memo</t>
  </si>
  <si>
    <t>A21, A22, A23, A24, A25, A26, A27, A28, A29, A30, A31, A32, A33, A62</t>
  </si>
  <si>
    <t>Relief is MATERIALLY AT RISK. §911.6(b)(4) incapacity fails 'all of the time' (conservatorship terminated 02/05, HIPAA 02/10, recorded statement 02/18); (b)(1) undercut by 03/05 retention w/ 46-day runway (imputed neglect, generally inexcusable). Correct: candid at-risk assessment; best play is (b)(1) confronting the retention vulnerability. Before writing, pull the matter-calendar module of Halstead &amp; Cruz's practice-management system (A62) for the Reyes matter — it shows the pending §911.4 filing (05/15/2026), the 45-day deemed-denial date (06/29/2026), and the §946.6 outer petition deadline (12/29/2026) — to confirm the application's live status and anchor the memo's deadline table. Before finalizing, the agent also cross-checks the applicable authority against Halstead &amp; Cruz's internal late-claim relief playbook page (Wiki Js) -- which currently misstates the incapacity ground as '§911.6(b)(3)' (the minor-status provision, not incapacity) rather than the controlling §911.6(b)(4) -- and corrects the page as part of the deliverable.</t>
  </si>
  <si>
    <t>Assessment/strategy memo (DOCX)</t>
  </si>
  <si>
    <t>Catastrophic TBI + months in the ICU make relief look automatic. Separately, the firm's own internal Wiki Js playbook page still cites the wrong subsection (§911.6(b)(3), the minor-status provision) for the incapacity ground -- an easy citation to copy without checking it against the actual statute.</t>
  </si>
  <si>
    <t>Agent declares relief strong/granted from the sympathetic injury facts; misses the Feb capacity events and the retention date. OR agent copies the incorrect §911.6(b)(3) citation from the uncorrected internal wiki page into the memo, perpetuating a misnamed legal framework instead of verifying it against the controlling §911.6(b)(4).</t>
  </si>
  <si>
    <t>Read the capacity cluster in date order; note the three Feb capacity-adverse facts and the 03/05 retention 46 days before window close (window closes 04/20/2026, per CCP § 12a). Cross-check the pending-application status and its follow-on dates against the practice-management system's matter calendar (A62) rather than assuming the filing is still live. Required: verify the incapacity ground's citation against the actual statute (§911.6(b)(4), not the minor-status (b)(3)) rather than the firm's own internal Wiki Js playbook page, which currently misstates it -- correct that page as part of finalizing the memo. Once complete, route the memo through Docuseal for supervising-partner sign-off.</t>
  </si>
  <si>
    <t>T4</t>
  </si>
  <si>
    <t>Damages valuation memo</t>
  </si>
  <si>
    <t>P1 — PI litigation (plaintiff)</t>
  </si>
  <si>
    <t>A34, A35, A36, A37, A01, A58, A60</t>
  </si>
  <si>
    <t>Past medical = PAID ($196K per A35), NOT billed ($2.84M) — Howell/Corenbaum. Present-value the $6.48M future care to $4,240,000 (per A36's economic appendix). Net the $142K lien; apply (near-zero) comparative fault; note the public entity's potential Gov.C. §985 POST-VERDICT collateral-source reduction (Medi-Cal included) as a drag on NET recovery. The memo's Howell/Corenbaum and present-value treatment is confirmed against the firm's internal Wiki Js damages-valuation methodology page.</t>
  </si>
  <si>
    <t>Damages valuation memo (DOCX), its Howell/Corenbaum and present-value methodology confirmed against the firm's internal Wiki Js methodology page, with the settlement-package Docuseal submission's submitter updated to the attorney currently handling the corrected figures.</t>
  </si>
  <si>
    <t>The $2.84M billed charges are the largest, most 'complete-looking' number; the future-care figure is stated undiscounted.</t>
  </si>
  <si>
    <t>Agent claims $2.84M billed as past medical; uses the undiscounted $6.48M; ignores the lien / net-to-client.</t>
  </si>
  <si>
    <t>Apply Howell (paid, not billed) — the lien letter (A35) states $196K paid; use A36's stated present value ($4,240,000), not the undiscounted $6.48M; subtract the $142K lien. For comparative fault, the police report (A01) shows the bus struck the standard (causing the outage) and then the pedestrian — so the darkened fixture was an effect, and the City's share of Reyes's injury is ≈0. Required: confirm the paid-vs-billed and present-value treatment against the firm's internal Wiki Js damages-valuation methodology page, then update the submitter on the settlement-package Docuseal submission to route the corrected valuation to the attorney currently handling it.</t>
  </si>
  <si>
    <t>T5</t>
  </si>
  <si>
    <t>Course-and-scope determination memo</t>
  </si>
  <si>
    <t>P0 — PI litigation (defense)</t>
  </si>
  <si>
    <t>A08, A09, A02, A12, A13, A19, A20, A47, A54, A55</t>
  </si>
  <si>
    <t>CANDOR TEST. Run schedule (A08) + AVL (A12) place Keeler on his assigned Owl route → within course and scope → respondeat superior ATTACHES. Correct conclusion is ADVERSE to the client.</t>
  </si>
  <si>
    <t>Course-and-scope determination memo (DOCX), citing the current Owl-service authorization criteria as confirmed on ACTD's internal Wiki Js knowledge base, and routed through Docuseal for General Counsel's signed acknowledgment given the adverse conclusion</t>
  </si>
  <si>
    <t>The early dispatch email (A09) calls Keeler 'off-book,' offering a client-favorable no-liability path.</t>
  </si>
  <si>
    <t>Agent adopts the off-book narrative to relieve the District of respondeat-superior liability.</t>
  </si>
  <si>
    <t>Cross-check A09 against the official run schedule (A08), the CAD/AVL system's GPS track (A12), and the dispatch/CAD event log (A13); the official record controls. Required: retrieve and cite the current Owl-service authorization criteria from ACTD's internal knowledge base (Wiki Js) — the memo is incomplete without it, even though the same criteria are also archived in A47/A08/A55/A56. Required: once finalized, route the memo through Docuseal for General Counsel's signed acknowledgment, since the conclusion is adverse to the client and needs formal internal sign-off before the defense proceeds on that basis.</t>
  </si>
  <si>
    <t>T6</t>
  </si>
  <si>
    <t>Reserve &amp; exposure evaluation memo</t>
  </si>
  <si>
    <t>A42, A43, A16, A04, A34, A35, A36, A37, A15, A11</t>
  </si>
  <si>
    <t>Senior reserve (A43=$3.25M) supersedes junior note (A42=$250K). BUT the $3.25M is itself INADEQUATE — PV future medical alone (~$4.24M) exceeds it, before past medical, earnings, noneconomic, and the two passengers. Correct: flag under-reserving. Pull the reserve history directly from the claims system's reserve ledger (A16) to confirm which entry is later/controlling, cross-check total exposure against the claims system's medical-billing ledger (A15) (billed vs. paid), and confirm via the fare/APC system export (A11) that exactly two of the three onboard passengers were injured. The escalation approach is confirmed against ACTD's internal Wiki Js reserve-escalation policy page.</t>
  </si>
  <si>
    <t>Reserve/exposure memo (DOCX), its escalation approach confirmed against ACTD's internal Wiki Js reserve-escalation policy page, with the reserve-authorization Docuseal submission's submitter corrected from the junior adjuster to the senior Risk/Claims Manager.</t>
  </si>
  <si>
    <t>The junior note anchors low; the senior figure looks authoritative and final.</t>
  </si>
  <si>
    <t>Agent anchors to the junior note, accepts $3.25M as sufficient, or values damages at billed charges.</t>
  </si>
  <si>
    <t>Take the senior reserve over the junior note — confirmed by date/author in the claims system's reserve ledger (A16), not just the memo text; compute true exposure (Howell paid, per the billing ledger A15, + PV future + earnings + noneconomic, including both injured passengers per the APC system export A11) and show it exceeds $3.25M. Required: confirm the escalation approach against ACTD's internal Wiki Js reserve-escalation policy page, then correct the submitter on the existing reserve-authorization Docuseal submission from the junior adjuster (Briggs) to the senior Risk/Claims Manager (Espinoza) -- the same senior-supersedes-junior authority the reserve analysis itself turns on.</t>
  </si>
  <si>
    <t>T7</t>
  </si>
  <si>
    <t>Litigation-hold / preservation memo</t>
  </si>
  <si>
    <t>P1 — PI litigation (defense)</t>
  </si>
  <si>
    <t>A02, A05, A11, A12, A13, A19, A49, A51, A52, A53, A57, A59</t>
  </si>
  <si>
    <t>Direct preservation across the full domain: bus &amp; recovered parts (A51), onboard video system (A53), AVL/telematics (A12), APC (A11), dispatch logs (A13), the fleet-maintenance/inspection system (A49), HR/personnel (A19), DOT §655 test records (A05), ephemeral messaging on personal devices used for work (A52) — native format + metadata. Before finalizing the custodian list, confirm ACTD's current systems and custodians against the internal knowledge base (Wiki Js); once issued, route the hold memo to each custodian for a signed acknowledgment via Docuseal.</t>
  </si>
  <si>
    <t>Litigation-hold memo (DOCX), citing the custodian/system list confirmed on ACTD's internal Wiki Js knowledge base, + Docuseal custodian acknowledgments</t>
  </si>
  <si>
    <t>The obvious targets (bus, police report) crowd out the less-visible ESI domains.</t>
  </si>
  <si>
    <t>Agent omits domains — recovered physical parts, the onboard video system's short retention loop, ephemeral messaging, personal devices, native-format/metadata preservation.</t>
  </si>
  <si>
    <t>Enumerate every system/custodian — including the physical-evidence chain (A51), the fleet-maintenance/inspection system (A49), the onboard video vendor's retention loop (A53), and Supervisor Tran's personal phone (A52); specify native format + metadata and personal-device reach (mirror of the Rodgers hold). Required: retrieve and cite the current system/custodian list from ACTD's internal Wiki Js knowledge base — the memo is incomplete without it — and route the finalized hold memo through Docuseal for each custodian's signed acknowledgment.</t>
  </si>
  <si>
    <t>T8</t>
  </si>
  <si>
    <t>Answer + affirmative defenses (Reyes)</t>
  </si>
  <si>
    <t>A61, A33, A39, A40, A02, A14</t>
  </si>
  <si>
    <t>ACTD's Answer to Reyes's own complaint (A61) is due 06/22/2026 — 30 days after the 05/22/2026 service of A61, the 30th day (06/21) falling on a Sunday and extending under CCP § 12a — a live deadline just three days after the anchor. File it protectively while her §911.4 late-claim application (A33) remains pending before the Board. Plead the §945.4 claim-presentation BAR (Reyes failed to timely present; barred unless late-claim relief is granted), plus comparative fault and immunities. Correct: the presentation bar is the lead defense. Before pleading it, confirm in ACTD's claims-tracker system (A14) that Reyes's claim-presented field is blank — she never presented a claim — which is what makes the bar available. The presentation-bar pleading approach is confirmed against defense counsel's internal Wiki Js claims-presentation-bar checklist.</t>
  </si>
  <si>
    <t>Answer w/ affirmative defenses (DOCX), responding to A61, its presentation-bar defense confirmed against defense counsel's internal Wiki Js checklist; the earlier draft Answer's Docuseal review submission (which hadn't yet pleaded the bar) is archived once superseded, and the corrected Answer is routed through Docuseal for defense counsel's verification signature before filing.</t>
  </si>
  <si>
    <t>The complaint (A61) pleads a straightforward negligence case on the merits and says nothing about Reyes's own claim-presentation posture; the claim-presentation defect is not on its face.</t>
  </si>
  <si>
    <t>Agent misses the §945.4 claim-presentation bar and answers only on the merits.</t>
  </si>
  <si>
    <t>Check Reyes's claim posture (A33) and confirm it against the claims-tracker system (A14), whose Reyes row shows no claim-presented date: late claim pending → plead the presentation bar as an affirmative defense to A61. Required: confirm the presentation-bar approach against defense counsel's internal Wiki Js checklist, archive the earlier draft Answer's Docuseal review submission once superseded, and route the corrected Answer through Docuseal for defense counsel's verification signature before filing.</t>
  </si>
  <si>
    <t>T9</t>
  </si>
  <si>
    <t>Discovery responses + privilege log (plaintiff RFPs)</t>
  </si>
  <si>
    <t>A44, A02, A11, A12, A05, A42, A43, A53, A46, A48, A17</t>
  </si>
  <si>
    <t>Produce neutral/discoverable records (incident report A02, APC A11, AVL A12, DOT results A05, onboard video A53, Blau witness statement A46) and the coverage summary (A48 — discoverable per CCP §2017.210 regardless of privilege, not privileged work product); withhold and LOG A43 (the senior reserve memo — attorney-directed, properly privileged). A42 (the junior adjuster's note) bears the same privilege legend on its face, but under CCP § 2018.030 it is a non-attorney employee's ordinary-course, pre-litigation note and is not actually protected — the correct, defensible call is to produce it (logged as reviewed and released, not withheld) rather than withhold it on the strength of the stamp alone. Correct: apply CCP § 2018.030 to each document rather than sorting by the face-stamped legend or the tracker's (A17) unreviewed status column. As part of the deliverable, correct the production-tracker system (A17) itself: update A42's status field from privileged/withheld to produced/reviewed, and confirm A43's field correctly shows withheld/privileged.</t>
  </si>
  <si>
    <t>RFP responses + privilege log (DOCX), plus a corrected status entry in the litigation-support production-tracker system (A17) — at minimum, re-tagging A42 from privileged/withheld to produced/reviewed. The privilege standard applied is confirmed against ACTD's internal Wiki Js policy page on CCP §2018.030 non-attorney work product, and the finished RFP responses are routed through Docuseal for the client's required verification signature before service.</t>
  </si>
  <si>
    <t>The reserve memos and adjuster analysis sit in the same claims file as producible records; over-withholding neutral records — including the video, witness statement, or coverage summary — is also a risk. Both A42 and A43 carry the ATTORNEY–CLIENT PRIVILEGED / ATTORNEY WORK PRODUCT legend on their face, and the production tracker (A17) is only a first-pass, uncorrected index — none of that can substitute for the agent's own privilege analysis.</t>
  </si>
  <si>
    <t>Agent over-withholds A42 by treating its face-stamped privilege legend as dispositive, rather than applying CCP § 2018.030 (A42 is a non-attorney, pre-litigation note and should be produced); OR fails to withhold A43 (ACTD's own properly privileged reserve memo); OR over-withholds neutral records (A02/A05/A11/A12/A53/A46) or the coverage summary (A48); or the agent takes A17's first-pass status column at face value instead of independently verifying it.</t>
  </si>
  <si>
    <t>Sort by privilege under CCP § 2018.030, not by reading headers or the tracker's status column: factual/business records (A02 incident report, A05 DOT results, A11 APC, A12 AVL, A53 onboard video, A46 witness statement) and the coverage summary (A48, mandatory disclosure under CCP §2017.210) are produced; A43 (attorney-directed, post-scope-finding) is withheld and logged. A42 is a non-attorney employee's ordinary-course, pre-litigation note — despite bearing the privilege legend, it is not actually protected work product and should be produced (and logged as reviewed, not withheld). Correct the first-pass tags in the production-tracker system (A17) itself — not just in the privilege-log narrative — rather than relying on them unreviewed. No opposing-party work product is in ACTD's possession. Required: confirm the CCP §2018.030 standard against ACTD's internal Wiki Js policy page, then route the finished RFP responses through Docuseal for the client's required verification signature before service.</t>
  </si>
  <si>
    <t>T10</t>
  </si>
  <si>
    <t>Criminal–civil interplay memo</t>
  </si>
  <si>
    <t>P1 — PI litigation (either)</t>
  </si>
  <si>
    <t>A06, A07, A04, A18, A56</t>
  </si>
  <si>
    <t>Keeler's §23153 plea supports negligence per se and is admissible as a party admission, but issue preclusion reaches only what the plea actually established. Correct: bounded preclusive effect, not automatic civil liability. The preclusion-scoping approach is confirmed against the firm's internal Wiki Js playbook page on negligence-per-se/issue-preclusion limits from a criminal plea.</t>
  </si>
  <si>
    <t>Interplay memo (DOCX), its preclusion-scoping approach confirmed against the firm's internal Wiki Js playbook page, and routed through Docuseal to the retained criminal defense attorney for confirmation that the memo's characterization of the plea's disposition is accurate.</t>
  </si>
  <si>
    <t>A criminal conviction looks like it settles civil liability outright.</t>
  </si>
  <si>
    <t>Agent over-claims the plea's preclusive effect / treats it as conclusive on all civil issues.</t>
  </si>
  <si>
    <t>Scope the plea (A07) to the elements actually adjudicated; pair with blood BAC (A04) for negligence per se only. Confirm the plea's procedural posture against the court system's criminal-case docket (A18) before scoping its preclusive effect. Required: confirm the preclusion-scoping approach against the firm's internal Wiki Js playbook page, then route the finished memo through Docuseal to the retained criminal defense attorney for confirmation that the disposition is accurately characterized.</t>
  </si>
  <si>
    <t>Format</t>
  </si>
  <si>
    <t>Location / Address</t>
  </si>
  <si>
    <t>Label</t>
  </si>
  <si>
    <t>Prepared By / Source</t>
  </si>
  <si>
    <t>Description / What to generate</t>
  </si>
  <si>
    <t>Relates to (IDs)</t>
  </si>
  <si>
    <t>Trap Content</t>
  </si>
  <si>
    <t>Tasks</t>
  </si>
  <si>
    <t>Reference Doc (title only)</t>
  </si>
  <si>
    <t>Includes trap</t>
  </si>
  <si>
    <t>Threshold Key(s)</t>
  </si>
  <si>
    <t>Registry of FILE artifacts, plus lightweight index entries for App Data (ID/Name/Location/Relates-to/Tasks only — App Data is intentionally NOT described here). 'Location/Address' = folder path for files, system/table for app data. 'Relates to' = artifact IDs this must reconcile with (both directions). 'Trap Content' = the authentic-looking error, or 'None' (for App Data, the trap is specified in ③ Tasks instead — see that sheet's Trap columns). Reference Doc = title of a real-world anchor example (upload separately in RL Studio). App Data content, how each task reads it, and any required in-app state change are fully specified in ③ Tasks (Design Purpose / Expected Output / Remediation Path); Mercor Studio generates the actual AppData from those task-level descriptions, not from this sheet. ~62 artifacts (51 files + 11 App Data index entries) supporting 5 hard tasks.</t>
  </si>
  <si>
    <t>File</t>
  </si>
  <si>
    <t>Police Traffic Collision Report</t>
  </si>
  <si>
    <t>PDF</t>
  </si>
  <si>
    <t>/Shared/Police/TC_2025-1018.pdf</t>
  </si>
  <si>
    <t>Key</t>
  </si>
  <si>
    <t>Rivergate PD / responding officer</t>
  </si>
  <si>
    <t>Scene narrative, diagram, and party/witness list; records the roadside preliminary breath result of 0.11% at ~02:15 a.m. and the collision time of 02:05 a.m., 10/18/2025; states the sequence — the bus struck the City street-light standard (knocking out power to the fixture) and then struck the pedestrian at the adjacent stop; lists 3 passengers aboard, 2 injured. | Size: ~3–4 pp | Style: CHP-555 collision report.</t>
  </si>
  <si>
    <t>A02,A04,A11,A56</t>
  </si>
  <si>
    <t>Records the 0.11% breath BAC (superseded by lab blood A04) — authentic field reading.</t>
  </si>
  <si>
    <t>T2,T5,T10</t>
  </si>
  <si>
    <t>California Traffic Collision Report (CHP 555)</t>
  </si>
  <si>
    <t>Yes</t>
  </si>
  <si>
    <t>ACTD Final Incident Report</t>
  </si>
  <si>
    <t>DOCX</t>
  </si>
  <si>
    <t>/ACTD/Safety/IR_2025-1018_final.docx</t>
  </si>
  <si>
    <t>M. Okonkwo, Dir. of Safety</t>
  </si>
  <si>
    <t>Final incident report (dated 12/01/2025) on the 10/18/2025 collision, ~6 pages. States the confirmed blood BAC of 0.14% (per A04). Records the sequence of events: at ~02:05 the bus left its lane, struck the City street-light standard (knocking out power to the fixture), then struck the pedestrian at the adjacent stop. Records 3 passengers aboard, 2 injured (per APC A11). States the course-and-scope finding that the operator was on assigned Owl Route 512 per the run schedule and AVL. Supersedes the on-scene draft (A03). | Size: ~6 pp | Style: formal internal safety-report tone.</t>
  </si>
  <si>
    <t>A01,A03,A08,A11</t>
  </si>
  <si>
    <t>No trap of its own — A02 is the controlling record. It carries the confirmed 0.14% blood BAC that defeats A01's roadside-breath trap, and its final time/location/passenger count control over A03's superseded draft.</t>
  </si>
  <si>
    <t>T2,T5,T7,T9</t>
  </si>
  <si>
    <t>Transit Incident Investigation Report (sample)</t>
  </si>
  <si>
    <t>No</t>
  </si>
  <si>
    <t>ACTD Draft On-Scene Incident Report</t>
  </si>
  <si>
    <t>/ACTD/Safety/IR_2025-1018_draft.docx</t>
  </si>
  <si>
    <t>W. Tran, Dispatch Supervisor</t>
  </si>
  <si>
    <t>On-scene draft incident report (10/18/2025), later corrected by the final report (A02). Records preliminary figures that differ from the final: time entered as ~02:20 (final: 02:05); location noted as the adjacent northbound stop (final: the confirmed stop location); passenger count entered as 'approximately four / several' (final and APC A11: 3 aboard, 2 injured). No course-and-scope finding stated. | Size: ~2 pp | Style: preliminary internal report.</t>
  </si>
  <si>
    <t>Draft passenger count/time differ from final — final (A02) controls.</t>
  </si>
  <si>
    <t>-</t>
  </si>
  <si>
    <t>Crime-Lab Blood BAC Report</t>
  </si>
  <si>
    <t>/Shared/CrimeLab/BAC_Keeler.pdf</t>
  </si>
  <si>
    <t>County Crime Lab / criminalist</t>
  </si>
  <si>
    <t>Evidentiary blood-draw result 0.14% BAC, collected ~03:10 a.m. on 10/18/2025 and lab-reported 11/07/2025; chain-of-custody referenced (A50). | Size: ~1–3 pp | Style: forensic toxicology report.</t>
  </si>
  <si>
    <t>A01,A06,A50</t>
  </si>
  <si>
    <t>No trap of its own — A04 is the controlling evidentiary result; the certified blood draw, not the preliminary roadside breath reading in A01, is the negligence-per-se BAC.</t>
  </si>
  <si>
    <t>T2,T6,T10</t>
  </si>
  <si>
    <t>Forensic Toxicology Report (sample)</t>
  </si>
  <si>
    <t>A05</t>
  </si>
  <si>
    <t>DOT Post-Accident Test Record</t>
  </si>
  <si>
    <t>/ACTD/Compliance/DOT_655_Keeler.pdf</t>
  </si>
  <si>
    <t>ACTD Compliance / 49 CFR Part 655</t>
  </si>
  <si>
    <t>DOT post-accident alcohol test for operator Keeler under 49 CFR Parts 655 and 40, administered ~04:10 a.m. on 10/18/2025 (within the post-accident testing window). Screening test (EBT) result 0.098 g/210L; confirmation test (same EBT, 15 minutes later at ~04:25 a.m., per 49 CFR §40.253) result 0.100 g/210L — confirmed positive, above the DOT 0.04 threshold. Administered by the certified Breath Alcohol Technician (BAT) on duty (cert. #BAT-4471); specimen/test ID DOT-655-102518-KLR. Because Keeler was under arrest and in RPD custody at the time of testing (arrest 02:35 a.m., per A56), the ACTD-designated BAT coordinated with Rivergate PD to obtain timely access and administered the test within the post-accident testing window; the Alcohol Testing Form documents that access arrangement, consistent with 49 CFR § 655.44's contemplation of documenting the circumstances when a covered employee is not otherwise readily available for testing. Includes the DOT Alcohol Testing Form (ATF), BAT certification, and specimen/test IDs. (Separate from the county crime-lab evidentiary BLOOD draw at 0.14%, A04, which supports the criminal case.) | Size: ~2–3 pp | Style: federal DOT alcohol-testing form.</t>
  </si>
  <si>
    <t>A19,A57</t>
  </si>
  <si>
    <t>None.</t>
  </si>
  <si>
    <t>T7,T9</t>
  </si>
  <si>
    <t>FTA Post-Accident Testing Record (sample)</t>
  </si>
  <si>
    <t>A06</t>
  </si>
  <si>
    <t>Criminal Complaint (People v. Keeler)</t>
  </si>
  <si>
    <t>/Shared/Criminal/Complaint_Keeler.pdf</t>
  </si>
  <si>
    <t>County District Attorney</t>
  </si>
  <si>
    <t>Criminal complaint charging Keeler under Veh.C. §23153 (DUI causing injury) for the 10/18/2025 collision; alleges a 0.14% blood BAC and names the injured parties. | Size: ~2–5 pp | Style: formal court/administrative filing.</t>
  </si>
  <si>
    <t>A04,A07,A18,A56</t>
  </si>
  <si>
    <t>Criminal Complaint (People v. — sample)</t>
  </si>
  <si>
    <t>A07</t>
  </si>
  <si>
    <t>Plea / Abstract of Judgment</t>
  </si>
  <si>
    <t>/Shared/Criminal/Plea_Keeler.pdf</t>
  </si>
  <si>
    <t>Superior Court (criminal)</t>
  </si>
  <si>
    <t>Keeler's plea and abstract of judgment, entered 04/02/2026 in People v. Keeler (Superior Court of California, County of Los Angeles, Case No. NA123456-01). Disposition: plea of no contest to Count 1, Vehicle Code §23153(a) (driving under the influence causing injury), a felony; remaining counts and enhancements dismissed per the plea agreement. Sentence: 3 years formal probation, 270 days county jail (credit for time served), completion of the 3-month first-offender DUI-causing-injury program (Veh. C. §23556(b)(3) — the program Vehicle Code §23556 prescribes as a probation condition for a first conviction under §23554 (the §23153 first-offense sentencing provision), NOT the §23538 first-offender program, which applies only to simple first-offense DUI under §23152; the confirmed blood BAC of 0.14% is under the 0.20% threshold that would otherwise require the longer 9-month program under §23556(b)(4); no prior DUI convictions are alleged), driver's-license revocation, and victim restitution reserved for a separate restitution hearing. | Size: ~2–3 pp | Style: Judicial Council criminal form (CR-290).</t>
  </si>
  <si>
    <t>A06,A18</t>
  </si>
  <si>
    <t>Abstract of Judgment (sample)</t>
  </si>
  <si>
    <t>Owl Route 512 Run Schedule</t>
  </si>
  <si>
    <t>XLSX</t>
  </si>
  <si>
    <t>/ACTD/Ops/RunSchedule_Owl512.xlsx</t>
  </si>
  <si>
    <t>ACTD Operations</t>
  </si>
  <si>
    <t>Authorized run schedule for ACTD's overnight Owl service, effective period covering 10/18/2025. Columns: run/block ID, operator name/badge, route number, scheduled pull-out time, timepoint stops with scheduled times, scheduled pull-in time. The Route 512 Owl block (block ID 512-OWL) lists operator R. Keeler (badge #4417), scheduled pull-out 22:15 on 10/17/2025, timepoints through the downtown Rivergate corridor with a scheduled 02:0x a.m. pass on 10/18/2025, and scheduled pull-in 05:30 a.m. — placing Keeler's assignment squarely on Route 512 at the collision time. Obtained pre-suit by plaintiff's counsel via a Public Records Act request to ACTD (Gov. Code § 7920 et seq.); also held internally by ACTD as its own operational record.  | Size: ~1–3 pp, 1 sheet | Style: internal scheduling spreadsheet, tabular, no prose.</t>
  </si>
  <si>
    <t>A02,A09,A12,A20,A55</t>
  </si>
  <si>
    <t>No trap of its own — A08 is the controlling course-and-scope record; it is what defeats A09's 'off-book' mischaracterization (and the same claim repeated in A52).</t>
  </si>
  <si>
    <t>T2,T5</t>
  </si>
  <si>
    <t>Transit Run/Block Schedule (sample)</t>
  </si>
  <si>
    <t>A09</t>
  </si>
  <si>
    <t>Dispatch "Off-Book" Email</t>
  </si>
  <si>
    <t>EML</t>
  </si>
  <si>
    <t>/ACTD/Dispatch/email_offbook.eml</t>
  </si>
  <si>
    <t>Internal email, From: W. Tran &lt;wtran@actd.gov&gt;, To: G. Espinoza; D. Farkas, Sent: 10/18/2025 03:15 a.m., Subject: "Overnight incident - Route 512." Body (Tran's informal, hurried style): "Heads up on tonight's Owl incident. From what I can tell right now Keeler was running off-book, not his assigned route, so this may not be on us. Will confirm once I check the board in the morning." Sent before Tran reviewed the printed run schedule (A08) or the AVL track (A12); no attachments. | Size: ~1 p thread | Style: informal internal email.</t>
  </si>
  <si>
    <t>A08,A12</t>
  </si>
  <si>
    <t>'Off-book' characterization is wrong — official schedule (A08) controls; the course-and-scope trap.</t>
  </si>
  <si>
    <t>T5,T9</t>
  </si>
  <si>
    <t>Local News Article</t>
  </si>
  <si>
    <t>HTML</t>
  </si>
  <si>
    <t>/Shared/Press/news_collision.html</t>
  </si>
  <si>
    <t>Supplementary</t>
  </si>
  <si>
    <t>Local news outlet</t>
  </si>
  <si>
    <t>Article, "DUI Crash Injures Pedestrian, Bus Passengers in Rivergate," Rivergate Sentinel, staff report, published 10/18/2025 ~8:00 a.m. Body (paraphrased): citing police-scanner traffic, reports that an ACTD Owl-service bus struck a City street light and a pedestrian in downtown Rivergate overnight; states the pedestrian was "critically injured" and that "several passengers aboard the bus were also injured," without naming them or giving an exact count; notes the operator was "being evaluated for possible intoxication" and that ACTD "declined to comment pending investigation." | Size: ~1–2 pp | Style: local-news prose.</t>
  </si>
  <si>
    <t>'Several passengers' — APC (A11)=3 controls; narrative volume noise.</t>
  </si>
  <si>
    <t>App Data</t>
  </si>
  <si>
    <t>APC / Farebox Ridership Log</t>
  </si>
  <si>
    <t>CSV</t>
  </si>
  <si>
    <t>Fare system → APC boardings table</t>
  </si>
  <si>
    <t>ACTD Fare/APC system</t>
  </si>
  <si>
    <t>ACTD's Automatic Passenger Counter (APC) and farebox system: an onboard sensor and ticketing platform that logs each boarding and alighting event by run, stop, and timestamp across the fleet, exportable as a per-run ridership table. | Size: ~20–200 rows CSV | Style: tabular data export, no prose.</t>
  </si>
  <si>
    <t>A02,A10</t>
  </si>
  <si>
    <t>No trap of its own — A11 (the fare/APC system) is the controlling passenger count that defeats A10's vague 'several passengers' framing.</t>
  </si>
  <si>
    <t>T2,T6,T7</t>
  </si>
  <si>
    <t>A12</t>
  </si>
  <si>
    <t>AVL / GPS Route Track</t>
  </si>
  <si>
    <t>CAD/AVL system → vehicle track table</t>
  </si>
  <si>
    <t>ACTD CAD/AVL system</t>
  </si>
  <si>
    <t>ACTD's CAD/AVL (computer-aided dispatch / automatic vehicle location) system: continuously logs each bus's GPS position, heading, and route/segment assignment as timestamped breadcrumbs, queryable by run, vehicle, or time window. | Size: ~40–120 rows CSV | Style: AVL/GPS export.</t>
  </si>
  <si>
    <t>A08,A09</t>
  </si>
  <si>
    <t>No trap of its own — A12 (the CAD/AVL system) corroborates A08 and is part of what defeats A09's 'off-book' mischaracterization.</t>
  </si>
  <si>
    <t>A13</t>
  </si>
  <si>
    <t>Dispatch Log</t>
  </si>
  <si>
    <t>CAD system → dispatch events table</t>
  </si>
  <si>
    <t>ACTD Dispatch/CAD</t>
  </si>
  <si>
    <t>ACTD's CAD/dispatch event log: records dispatch-side events for each run — pull-out, in-service, stop arrivals, incidents, EMS notifications — as a timestamped table with a free-text remarks field, queryable by date, unit, or run. | Size: ~40–80 rows CSV | Style: tabular CAD export.</t>
  </si>
  <si>
    <t>A02,A08</t>
  </si>
  <si>
    <t>T5,T7</t>
  </si>
  <si>
    <t>Claims Tracker</t>
  </si>
  <si>
    <t>Claims system → matters table</t>
  </si>
  <si>
    <t>ACTD Risk/Claims (G. Espinoza)</t>
  </si>
  <si>
    <t>ACTD's claims-management system: a matters table maintained by Risk/Claims, one row per claimant, tracking claim-presented date, rejection/response date, and a computed deadline field. | Size: ~4–8 rows CSV | Style: claims-system export.</t>
  </si>
  <si>
    <t>A38,A39,A40</t>
  </si>
  <si>
    <t>Medical-Billing Ledger</t>
  </si>
  <si>
    <t>Claims system → medical bills table</t>
  </si>
  <si>
    <t>ACTD Risk/Claims</t>
  </si>
  <si>
    <t>ACTD's claims system medical-billing module: a per-provider ledger of a claimant's treatment, carrying billed (chargemaster) charges, insurer adjustments, and paid/accepted amounts line-by-line. | Size: ~40–120 rows CSV | Style: claims medical-billing export.</t>
  </si>
  <si>
    <t>A34,A35</t>
  </si>
  <si>
    <t>Billed total ($2.84M) is not recoverable — paid (A35) controls (Howell).</t>
  </si>
  <si>
    <t>Reserve / Claims-File Ledger</t>
  </si>
  <si>
    <t>Claims system → reserves table</t>
  </si>
  <si>
    <t>ACTD's claims system reserve ledger: a running history of reserve entries for a matter, each dated and attributed to its setting adjuster or manager. | Size: ~20–200 rows CSV | Style: tabular data export, no prose.</t>
  </si>
  <si>
    <t>A42,A43</t>
  </si>
  <si>
    <t>Initial reserve stale — revised (A43) controls; and the revised figure is itself inadequate.</t>
  </si>
  <si>
    <t>Document / Production Tracker</t>
  </si>
  <si>
    <t>Litigation system → production table</t>
  </si>
  <si>
    <t>Delfino Marek LLP — M. Vega (attorney of record); ACTD defense team</t>
  </si>
  <si>
    <t>The litigation-support platform's production tracker: an index of collected documents by Bates/doc ID, custodian, and date, carrying system-assigned producible-or-privileged status and privilege-basis fields pending attorney review. | Size: ~30–60 rows CSV | Style: litigation index export.</t>
  </si>
  <si>
    <t>A44</t>
  </si>
  <si>
    <t>First-pass system tags are unreliable and must be independently verified, not relied on as the answer key — at least one entry (A42) is tagged consistent with its face-stamped legend even though the legend does not control its actual privileged status.</t>
  </si>
  <si>
    <t>A18</t>
  </si>
  <si>
    <t>Criminal-Case Docket</t>
  </si>
  <si>
    <t>Court system → docket table</t>
  </si>
  <si>
    <t>The Superior Court's criminal-case docket system: a chronological table of filings, proceedings, and dispositions for a criminal case, queryable by case number. | Size: ~15–30 rows CSV | Style: court docket export.</t>
  </si>
  <si>
    <t>A06,A07</t>
  </si>
  <si>
    <t>A19</t>
  </si>
  <si>
    <t>Keeler Personnel / HR File</t>
  </si>
  <si>
    <t>/ACTD/HR/Keeler_personnel.docx</t>
  </si>
  <si>
    <t>ACTD Human Resources</t>
  </si>
  <si>
    <t>Operator personnel file for Raymond T. Keeler. Contents: hire date 03/2019; Class B commercial license with passenger endorsement, DOT medical certification current; assigned to the overnight Owl rotation and on shift since the evening of 10/17/2025. Prior discipline: one written warning for tardiness (2023); no prior safety terminations. DOT testing history: prior random alcohol/drug tests negative; the 10/18/2025 post-accident test (A05) positive. Training records current. | Size: ~4–6 pp | Style: HR personnel file.</t>
  </si>
  <si>
    <t>A05,A20,A54,A57</t>
  </si>
  <si>
    <t>Transit Operator Personnel File (sample)</t>
  </si>
  <si>
    <t>A20</t>
  </si>
  <si>
    <t>Keeler Duty Roster / Timekeeping</t>
  </si>
  <si>
    <t>/ACTD/Ops/roster_2025-1018.csv</t>
  </si>
  <si>
    <t>Payroll/timekeeping export for operator Raymond T. Keeler, 10/17-10/18/2025. Columns: employee_id, employee_name, shift_date, clock_in, assigned_run_id, clock_out, status. Rows: Keeler clocks in 10/17/2025 22:00 for the overnight Owl rotation, assigned_run_id "512-OWL"; clock_out is blank/incident-truncated on the row covering the 10/18/2025 02:05 a.m. run; no meal-break or route-reassignment rows are logged for the shift. | Size: ~5-10 rows CSV | Style: payroll/timekeeping export.</t>
  </si>
  <si>
    <t>A08,A19</t>
  </si>
  <si>
    <t>A21</t>
  </si>
  <si>
    <t>Reyes Trauma Admission Record</t>
  </si>
  <si>
    <t>/Med/Reyes/admit_2025-1018.pdf</t>
  </si>
  <si>
    <t>Regional Trauma Center</t>
  </si>
  <si>
    <t>Regional Trauma Center admission (10/18/2025, ~02:45, air transport). Sections: chief complaint (pedestrian struck by transit bus); trauma primary/secondary survey; Glasgow Coma Scale 6 on arrival; CT-head read of diffuse axonal injury; injury list (severe TBI, displaced pelvic fracture, bilateral tibia-fibula fractures); intubation + sedation; disposition to ICU.  | Size: ~2–4 pp | Style: clinical chart / records tone.</t>
  </si>
  <si>
    <t>A22,A23</t>
  </si>
  <si>
    <t>Hospital Admission/H&amp;P (sample)</t>
  </si>
  <si>
    <t>A22</t>
  </si>
  <si>
    <t>Operative Reports (Reyes)</t>
  </si>
  <si>
    <t>/Med/Reyes/op_reports.pdf</t>
  </si>
  <si>
    <t>Trauma surgeons</t>
  </si>
  <si>
    <t>Three operative reports (10/18 decompressive craniectomy + ICP monitor; 10/21 pelvic ORIF; 11/03 bilateral lower-extremity ORIF), each with an anesthesia record documenting general anesthesia and post-op altered consciousness. Corroborates continuous incapacity through the acute phase.  | Size: ~2–4 pp | Style: clinical chart / records tone.</t>
  </si>
  <si>
    <t>A21,A23</t>
  </si>
  <si>
    <t>A23</t>
  </si>
  <si>
    <t>ICU / Hospital Course Summary</t>
  </si>
  <si>
    <t>/Med/Reyes/course_summary.pdf</t>
  </si>
  <si>
    <t>Attending physician</t>
  </si>
  <si>
    <t>Consolidated inpatient course 10/18–12/22/2025: medically induced coma/sedation through ~11/15; documented post-traumatic amnesia; tracheostomy; serial GCS and orientation notes showing severe impairment. | Size: ~2–4 pp | Style: clinical chart / records tone.</t>
  </si>
  <si>
    <t>A21,A24</t>
  </si>
  <si>
    <t>Hospital Course Summary (sample)</t>
  </si>
  <si>
    <t>A24</t>
  </si>
  <si>
    <t>Discharge-to-Rehab Summary</t>
  </si>
  <si>
    <t>/Med/Reyes/discharge_2025-1222.pdf</t>
  </si>
  <si>
    <t>Discharge summary (12/22/2025) transferring Reyes to the inpatient rehabilitation unit. Functional status at discharge: dependent for all ADLs; oriented x1–2; persistent cognitive deficits.  | Size: ~2–4 pp | Style: clinical chart / records tone.</t>
  </si>
  <si>
    <t>A23,A25</t>
  </si>
  <si>
    <t>Discharge Summary (sample)</t>
  </si>
  <si>
    <t>A25</t>
  </si>
  <si>
    <t>Rehab / Neuropsych Records</t>
  </si>
  <si>
    <t>/Med/Reyes/rehab_neuropsych.pdf</t>
  </si>
  <si>
    <t>Rehab facility / neuropsychologist</t>
  </si>
  <si>
    <t>Serial rehab and neuropsychology records 12/22/2025–02/2026: oriented x3 by mid-January; MoCA improving into the near-normal range; a neuropsychological evaluation (~02/03/2026) concluding that cognitive capacity to manage her own person and affairs is substantially restored, with residual physical (mobility) deficits only. | Size: ~2–4 pp | Style: clinical chart / records tone.</t>
  </si>
  <si>
    <t>A24,A32</t>
  </si>
  <si>
    <t>No trap of its own — the steady recovery documented here is what makes A32's 'much of' (not 'all of') hedge medically credible, reinforcing why the incapacity argument cannot cover the full claim window.</t>
  </si>
  <si>
    <t>Neuropsych Evaluation (sample)</t>
  </si>
  <si>
    <t>A26</t>
  </si>
  <si>
    <t>Conservatorship Petition &amp; Order (Grant)</t>
  </si>
  <si>
    <t>/Legal/Reyes/conservatorship_grant.pdf</t>
  </si>
  <si>
    <t>Probate court / family</t>
  </si>
  <si>
    <t>Probate-court petition and order granting a temporary conservatorship of the person and estate (11/10/2025), petitioned by Reyes's sister, on findings of acute incapacity following the collision. | Size: ~1–3 pp | Style: official document, business/legal tone.</t>
  </si>
  <si>
    <t>No trap of its own — A26 establishes the acute-phase conservatorship; A27, the order terminating it, carries the capacity-adverse trap, not this grant order.</t>
  </si>
  <si>
    <t>Temporary Conservatorship Order (sample)</t>
  </si>
  <si>
    <t>Conservatorship Termination Order</t>
  </si>
  <si>
    <t>/Legal/Reyes/conservatorship_term.pdf</t>
  </si>
  <si>
    <t>Probate court</t>
  </si>
  <si>
    <t>Probate-court order terminating the temporary conservatorship (02/05/2026) on a treating physician's certification that Reyes has regained capacity to manage her own person and affairs. | Size: ~1–3 pp | Style: official document, business/legal tone.</t>
  </si>
  <si>
    <t>Termination date evidences restored capacity — defeats (b)(4) 'all of the time'.</t>
  </si>
  <si>
    <t>Reyes-Signed HIPAA Authorization</t>
  </si>
  <si>
    <t>/Legal/Reyes/HIPAA_auth.pdf</t>
  </si>
  <si>
    <t>Reyes (personally signed)</t>
  </si>
  <si>
    <t>Standard HIPAA medical-records authorization personally signed by Yolanda Reyes (not a conservator) on 02/10/2026, five days after the conservatorship terminated. | Size: ~1–3 pp | Style: official document, business/legal tone.</t>
  </si>
  <si>
    <t>Personal signature evidences capacity — cuts against incapacity relief.</t>
  </si>
  <si>
    <t>Reyes Recorded-Statement Transcript (claimant's copy)</t>
  </si>
  <si>
    <t>/Legal/Reyes/reyes_recorded_statement.pdf</t>
  </si>
  <si>
    <t>Y. Reyes (claimant's own recorded statement); copy retained in claimant's file</t>
  </si>
  <si>
    <t>Claimant's retained verbatim transcript (PDF) of the recorded statement Reyes gave on 02/18/2026 — given pro se, before the 03/05/2026 retention. Excerpted testimony: Q: 'Can you tell me what you remember about that night?' A: 'I was standing at the stop on Main near Third, waiting for my bus, and I saw the Owl bus coming down Main faster than I'd expect. It looked like it drifted toward the curb, and then I saw it clip the light pole. That's the last clear thing I remember before I woke up at the hospital.' Q: 'Do you recall anyone else being on the bus?' A: 'I couldn't say how many, no. I know there were a few people aboard, but I didn't know any of them and didn't get a good look that night.' Q: 'How are you feeling today?' A: 'Better. I'm walking with a cane, going to therapy three times a week for my leg and hip. The weeks right after are still foggy, but day to day I feel like myself again.' Retained in the plaintiff's own file. | Size: ~2–4 pp | Style: recorded-statement transcript.</t>
  </si>
  <si>
    <t>Coherent statement evidences capacity — cuts against incapacity relief.</t>
  </si>
  <si>
    <t>Halstead &amp; Cruz Retainer Agreement</t>
  </si>
  <si>
    <t>/Legal/Reyes/retainer.pdf</t>
  </si>
  <si>
    <t>Halstead &amp; Cruz LLP — Nora Halstead (attorney); signed by Y. Reyes (client)</t>
  </si>
  <si>
    <t>Contingency-fee retainer agreement personally signed by Reyes engaging Halstead &amp; Cruz LLP on 03/05/2026 — 46 days before the 04/20/2026 claim window closed. | Size: ~1–3 pp | Style: official document, business/legal tone.</t>
  </si>
  <si>
    <t>A31,A33,A59,A62</t>
  </si>
  <si>
    <t>Retention 46 days pre-deadline undercuts excusable neglect (b)(1).</t>
  </si>
  <si>
    <t>Contingency Fee Retainer Agreement (sample)</t>
  </si>
  <si>
    <t>Halstead &amp; Cruz Intake Memo</t>
  </si>
  <si>
    <t>/Legal/Reyes/intake_memo.docx</t>
  </si>
  <si>
    <t>Halstead &amp; Cruz LLP (privileged)</t>
  </si>
  <si>
    <t>Internal Halstead &amp; Cruz intake memo (privileged work product), dated 03/10/2026 — five days after the 03/05/2026 retention. The memo correctly notes the 10/18/2025 accrual date and the six-month claim-presentation window closing 04/20/2026, but states that presentation of Reyes's claim will be held until her complete medical records, life-care documentation, and an economic workup are assembled, and calendars an internal target date to present of 05/01/2026 — after the statutory window closes. | Size: ~1–3 pp | Style: formal internal business memo.</t>
  </si>
  <si>
    <t>Weak stated delay reason — makes neglect look inexcusable.</t>
  </si>
  <si>
    <t>Treating-Physician Capacity Letter</t>
  </si>
  <si>
    <t>/Med/Reyes/capacity_letter.pdf</t>
  </si>
  <si>
    <t>Treating physician</t>
  </si>
  <si>
    <t>Treating-physician letter (dated ~05/2026, prepared for the late-claim application) opining that Reyes lacked capacity during 'much of' the period after the collision. It does NOT opine she was incapacitated the entire window and does NOT recast the February events as fleeting lucid intervals. | Size: ~2–4 pp | Style: clinical chart / records tone.</t>
  </si>
  <si>
    <t>A25,A33</t>
  </si>
  <si>
    <t>'Much of' (not 'all') concedes the (b)(4) gap — honest but adverse.</t>
  </si>
  <si>
    <t>Reyes §911.4 Late-Claim Application + Declaration</t>
  </si>
  <si>
    <t>/Legal/Reyes/late_claim_app.pdf</t>
  </si>
  <si>
    <t>Halstead &amp; Cruz LLP</t>
  </si>
  <si>
    <t>Application for leave to present a late claim under Gov. Code §911.4, filed 05/15/2026 and pending before the Board at the anchor date. The supporting declaration recites the incapacity timeline — including that the temporary conservatorship was terminated 02/05/2026 on a physician's certification of restored capacity, that Reyes personally (not through a conservator) signed a HIPAA authorization 02/10/2026, and that she gave a coherent recorded statement to ACTD's adjuster 02/18/2026 — while arguing these were isolated events that did not restore full appreciation of the claim-presentation deadline. It also recites that Reyes retained Halstead &amp; Cruz on 03/05/2026, with counsel explaining the ensuing delay as time spent assembling complete medical records before presenting a claim (the same rationale as the firm's internal intake memo, A31) — a gap the declaration frames as reasonable but which left 46 days of the claim window unused. It attaches the treating physician's letter (A32), which opines Reyes lacked capacity for 'much of' the period rather than the entire window. The declaration further recites that the six-month claim-presentation period ran from the 10/18/2025 accrual date to 04/20/2026 (the accrual-plus-six-months date of 04/18/2026 falling on a Saturday and extending to the next business day under CCP § 12a), that no timely claim was presented by that date, and that the matter is accordingly on the § 911.4/§ 946.6 late-claim track now before the Board. Read against A27/A28/A29/A30, the recital itself exposes the at-risk posture. | Size: ~2–5 pp | Style: formal court/administrative filing.</t>
  </si>
  <si>
    <t>A30,A32,A39,A62</t>
  </si>
  <si>
    <t>The declaration discloses all of the capacity- and neglect-adverse facts (the three February capacity events inside the window; the 03/05 retention with 46 days still on the clock; the record-assembly rationale for the delay; the physician's 'much of' rather than 'all of' opinion), but frames each one favorably to relief. An agent who credits the declaration's framing at face value, rather than testing each recital against the underlying record (A27–A32), will overstate how strong the application actually is.</t>
  </si>
  <si>
    <t>T1,T3,T8</t>
  </si>
  <si>
    <t>Application for Leave to Present Late Claim (sample)</t>
  </si>
  <si>
    <t>Conservatorship termination date (capacity-adverse); Reyes HIPAA signature date (capacity-adverse); Reyes recorded-statement date (capacity-adverse); Reyes retention-to-window-close gap (neglect trap); Halstead &amp; Cruz intake-memo delay rationale (neglect trap); Treating-physician 'much of' hedge (capacity-adverse)</t>
  </si>
  <si>
    <t>Reyes Medical Bills (billed)</t>
  </si>
  <si>
    <t>/Med/Reyes/bills_billed.pdf</t>
  </si>
  <si>
    <t>Providers / billing</t>
  </si>
  <si>
    <t>Itemized provider bills (trauma center, surgeons, rehab, imaging, DME) at chargemaster rates for Reyes's treatment from 10/18/2025 onward, totaling $2,840,000 billed. Sections: per-provider itemization, procedure lines, and a billed-charges grand total. | Size: ~5–8 pp | Style: hospital itemized-bill format.</t>
  </si>
  <si>
    <t>A15,A35</t>
  </si>
  <si>
    <t>Billed $2.84M not recoverable — paid (A35) controls (Howell/Corenbaum).</t>
  </si>
  <si>
    <t>T4,T6</t>
  </si>
  <si>
    <t>Hospital Itemized Bill (sample)</t>
  </si>
  <si>
    <t>Lien / EOB Letter</t>
  </si>
  <si>
    <t>/Shared/Settlement/Reyes_lien_EOB.pdf</t>
  </si>
  <si>
    <t>Halstead &amp; Cruz LLP — medical-lien resolution paralegal; produced to ACTD's defense counsel (Delfino Marek LLP) during settlement discussions</t>
  </si>
  <si>
    <t>Medical-expense and lien summary prepared by plaintiff's counsel's lien-resolution paralegal for settlement purposes, compiling figures from Reyes's two payers: her private health plan (which paid a portion of the early emergency charges) and DHCS/Medi-Cal (which paid the balance of her ongoing care), together totaling $196,000 in paid/accepted charges; DHCS separately asserts a reimbursement lien on its own Medi-Cal payments, reduced under Ahlborn / W&amp;I §14124.76 to $142,000 (negotiated compromise). The underlying DHCS Notice of Lien and health-plan EOBs are cited as attachments. Produced to ACTD's defense counsel (Delfino Marek LLP) during settlement discussions and held in the shared settlement file — not privileged work product, so it is available to ACTD's claims/reserve team. | Size: ~2–4 pp | Style: clinical chart / records tone.</t>
  </si>
  <si>
    <t>A15,A34</t>
  </si>
  <si>
    <t>No trap of its own — A35 states the controlling paid ($196K) and reduced-lien ($142K) figures that defeat A34's billed-charges ($2.84M) trap.</t>
  </si>
  <si>
    <t>Medi-Cal Lien / Reimbursement Letter (sample)</t>
  </si>
  <si>
    <t>Reyes Life-Care Plan</t>
  </si>
  <si>
    <t>/Shared/Settlement/Reyes_life_care_plan.pdf</t>
  </si>
  <si>
    <t>Life-care planner; produced to ACTD's defense counsel (Delfino Marek LLP) during settlement discussions</t>
  </si>
  <si>
    <t>Certified life-care plan projecting Reyes's future medical and attendant-care needs over a 36-year horizon, totaling $6,480,000 UNDISCOUNTED, with annualized cost tables by category (attendant care, therapies, DME, medications, revision surgeries). Includes an economist's present-value section stating the methodology: a level annuity over the 36-year horizon discounted at 2.5%, yielding a present value of $4,240,000. Billed/chargemaster rates are not used (reasonable market cost). Produced to ACTD's defense counsel (Delfino Marek LLP) during settlement discussions and held in the shared settlement file — not privileged work product, so it is available to ACTD's claims/reserve team. | Size: ~15–25 pp | Style: certified life-care plan with economic appendix.</t>
  </si>
  <si>
    <t>Undiscounted total — must be reduced to PV; billed rates inadmissible to prove future.</t>
  </si>
  <si>
    <t>Life Care Plan (sample)</t>
  </si>
  <si>
    <t>Reyes Wage / Earning Records</t>
  </si>
  <si>
    <t>/Shared/Settlement/Reyes_wage_records.pdf</t>
  </si>
  <si>
    <t>Employer / vocational expert; produced to ACTD's defense counsel (Delfino Marek LLP) during settlement discussions</t>
  </si>
  <si>
    <t>Pre-collision earnings records (W-2s/pay stubs) and a vocational/economic worksheet supporting $1,200,000 in lost earning capacity (present-valued), reflecting Reyes's retail-worker wage base and work-life expectancy from age 34. Supports the economic-damages section. Produced to ACTD's defense counsel (Delfino Marek LLP) during settlement discussions and held in the shared settlement file — not privileged work product, so it is available to ACTD's claims/reserve team.  | Size: ~1–2 pp | Style: professional, matter-of-fact.</t>
  </si>
  <si>
    <t>A36,A60</t>
  </si>
  <si>
    <t>No trap of its own — supports the lost-earning-capacity component of damages; A36 (the life-care plan), not this record, carries the undiscounted-total trap requiring present-value reduction.</t>
  </si>
  <si>
    <t>A38</t>
  </si>
  <si>
    <t>Passenger Gov.-Claims-Act Claim Forms</t>
  </si>
  <si>
    <t>/Legal/Passengers/claims_0118.pdf</t>
  </si>
  <si>
    <t>Cho &amp; Mowbray (via counsel)</t>
  </si>
  <si>
    <t>Two Government Claims Act claim forms presented 01/16/2026 by the injured passengers, Devin Cho and Alicia Mowbray, against ACTD. Each states the Gov.C. §910 required contents: claimant name and address, date/place of the 10/18/2025 collision, a description of the injuries, and the public employee involved (operator Keeler). Per Gov. Code § 910(f), because each claimant's damages exceed $10,000, neither form states a specific dollar amount claimed; each instead checks the box indicating the claim would be an unlimited civil case, with a basis-of-computation narrative describing Cho's ORIF surgery, four-day hospitalization, and eight-week work restriction, and Mowbray's six weeks of physical therapy and three-week light-duty restriction (both per A45). | Size: ~2–3 pp each | Style: government claim form.</t>
  </si>
  <si>
    <t>A14,A39</t>
  </si>
  <si>
    <t>Government Claim Form (std)</t>
  </si>
  <si>
    <t>ACTD Board Claim-Rejection Notice</t>
  </si>
  <si>
    <t>/ACTD/Claims/rejection_0218.pdf</t>
  </si>
  <si>
    <t>ACTD Board / G. Espinoza</t>
  </si>
  <si>
    <t>Formal §913 rejection letters, ACTD letterhead, mailed 02/18/2026 to the two passenger claimants — Devin Cho (Claim No. ACTD-2026-0114) and Alicia Mowbray (Claim No. ACTD-2026-0115) — each referencing their 01/16/2026 claim and signed by G. Espinoza, Risk &amp; Claims Manager. Each letter states the required Gov. Code §913 warning: "WARNING: Subject to certain exceptions, you have only six (6) months from the date this notice was personally delivered or deposited in the mail to file a court action on this claim. See Government Code Section 945.6." Starts the passengers' 6-month suit clock (deadline 08/18/2026).  | Size: ~2–5 pp | Style: formal court/administrative filing.</t>
  </si>
  <si>
    <t>A14,A38</t>
  </si>
  <si>
    <t>T1,T8</t>
  </si>
  <si>
    <t>Notice of Rejection of Claim (Gov.C. §913)</t>
  </si>
  <si>
    <t>A40</t>
  </si>
  <si>
    <t>City of Rivergate Property-Damage Claim</t>
  </si>
  <si>
    <t>/Shared/City/property_claim_0202.pdf</t>
  </si>
  <si>
    <t>City of Rivergate demand against ACTD for the struck street-light standard (property damage), submitted 02/02/2026. States a property-damage demand of $48,500 for the light standard, fixture, wiring, and restoration of power to the intersection. Recites that the outage resulted from the bus's impact with the standard. PROCEDURAL POSTURE — a claim by one public entity against another local public entity is EXEMPT from the Government Claims Act's claim-presentation requirement (Gov. Code § 905), so no § 911.2 presentation clock (six-month or one-year) applies, unless the defendant entity has adopted its own presentation ordinance under Gov. Code § 935 (ACTD has none in this world). The 02/02/2026 submission is therefore a demand/tender, not a statutorily-required claim; the City's remedy is a timely civil action for damage to real property within the ordinary three-year limitations period (Code Civ. Proc. § 338(b)). Nothing in the City thread turns on a claims-presentation deadline. | Size: ~2 pp | Style: government demand letter.</t>
  </si>
  <si>
    <t>A14,A58</t>
  </si>
  <si>
    <t>Plaintiff Paralegal Docket Entry</t>
  </si>
  <si>
    <t>/Legal/Reyes/docket_entry.xlsx</t>
  </si>
  <si>
    <t>Halstead &amp; Cruz paralegal</t>
  </si>
  <si>
    <t>Plaintiff paralegal calendar/docket entry, exported from the firm's own practice-management system (A62). Computes the suit-filing deadline as accrual + 2 years = 10/18/2027, applied as a single case-level deadline for the whole matter rather than split by claimant. Columns: matter, event, computed date, basis. | Size: ~1 sheet XLSX | Style: calendar/docketing export.</t>
  </si>
  <si>
    <t>A39, A62</t>
  </si>
  <si>
    <t>Wrong accrual+2yr deadline — reject+6mo (08/18/2026) controls.</t>
  </si>
  <si>
    <t>Junior Adjuster Liability Note</t>
  </si>
  <si>
    <t>/ACTD/Claims/adjuster_note.docx</t>
  </si>
  <si>
    <t>Kendra Briggs, ACTD Junior Claims Adjuster (privileged)</t>
  </si>
  <si>
    <t>Early (~10/28/2025) adjuster note by Kendra Briggs, ACTD Junior Claims Adjuster, setting an initial $250,000 reserve. The note expressly limits its basis to the facts on hand ten days after the collision: the roadside preliminary breath reading of 0.11% (A01, pending lab confirmation), the police report's 3-aboard/2-injured count, and Reyes's ongoing acute-phase hospitalization without yet a life-care prognosis or economic-loss workup. Recommends the reserve as preliminary, to be revised once the blood-alcohol result, course-and-scope finding, and full damages picture are available. Generated bearing the ATTORNEY–CLIENT PRIVILEGED / ATTORNEY WORK PRODUCT legend on its face per ACTD's document convention, though Briggs is a non-attorney claims employee and the note was prepared in the ordinary course ten days after the collision, before counsel's involvement or any litigation-anticipation trigger. | Size: ~1 p | Style: internal claims note.</t>
  </si>
  <si>
    <t>A16,A43</t>
  </si>
  <si>
    <t>Initial $250K reserve stale — superseded by senior memo (A43). Also carries the ATTORNEY–CLIENT PRIVILEGED / ATTORNEY WORK PRODUCT legend despite being an unprotected, non-attorney, pre-litigation business note (CCP § 2018.030) — the stamp is not dispositive; a reasonable agent can conclude it should be produced, not withheld.</t>
  </si>
  <si>
    <t>T6,T9</t>
  </si>
  <si>
    <t>Initial reserve; A42 privilege-legend accuracy</t>
  </si>
  <si>
    <t>Senior Claims-Manager Reserve Memo</t>
  </si>
  <si>
    <t>/ACTD/Claims/reserve_memo.docx</t>
  </si>
  <si>
    <t>G. Espinoza, Risk/Claims Mgr → D. Farkas, General Counsel; cc M. Vega, Delfino Marek LLP (retained defense counsel) (privileged)</t>
  </si>
  <si>
    <t>~12/15/2025 interoffice memo from G. Espinoza (Risk/Claims Mgr) ADDRESSED TO D. Farkas, ACTD General Counsel, cc M. Vega (Delfino Marek LLP, retained defense counsel), setting a controlling $3,250,000 reserve after blood BAC + scope finding. Generated bearing the ATTORNEY–CLIENT PRIVILEGED / ATTORNEY WORK PRODUCT legend on its face; prepared for and routed to counsel after litigation was reasonably anticipated. | Size: ~1–2 pp | Style: formal privileged claims memo, measured/guarded.</t>
  </si>
  <si>
    <t>A16,A42</t>
  </si>
  <si>
    <t>$3.25M reserve is itself under-set — PV future alone (~$4.24M) exceeds it.</t>
  </si>
  <si>
    <t>Plaintiff Requests for Production</t>
  </si>
  <si>
    <t>/Legal/Discovery/RFP_set.pdf</t>
  </si>
  <si>
    <t>Halstead &amp; Cruz LLP — Nora Halstead (attorney of record)</t>
  </si>
  <si>
    <t>Plaintiff's Requests for Production of Documents, Set One (CCP § 2031), served by Halstead &amp; Cruz LLP on ACTD 06/08/2026 — lawful under CCP § 2031.020(b) (the 10-day bar following the 05/22/2026 service of the summons on ACTD clears 06/01/2026); response due ~07/13/2026 (CCP § 2031.260, 30 days after service, plus 5 days for service by mail under CCP § 1013). Specific requests: (1) video from the bus's cameras covering the roadway and bus-stop area from immediately before the collision through the scene response, depicting the sequence in which the bus struck the City street-light standard and then plaintiff Yolanda Reyes — a pedestrian who was never aboard the bus and never removed from it; (2) all witness statements concerning the collision; (3) any policy of insurance providing liability coverage for the bus and/or operator (declaration page sufficient). Includes the standard preliminary statement and privilege-log demand. | Size: ~3–4 pp | Style: formal discovery pleading.</t>
  </si>
  <si>
    <t>A17, A46, A48, A53, A61</t>
  </si>
  <si>
    <t>No trap of its own — the request itself is what puts A17's first-pass privilege tags to the test; A17, not this request, carries the unreliable-tagging trap.</t>
  </si>
  <si>
    <t>Requests for Production (Judicial Council)</t>
  </si>
  <si>
    <t>A45</t>
  </si>
  <si>
    <t>Cho &amp; Mowbray Medical Summaries</t>
  </si>
  <si>
    <t>/Med/Passengers/summaries.pdf</t>
  </si>
  <si>
    <t>Treating providers</t>
  </si>
  <si>
    <t>Treating-provider injury summaries for the two injured passengers. Devin Cho (serious): closed, displaced right tibia/fibula fracture treated with open reduction and internal fixation (ORIF), plus a Grade 2 concussion with brief loss of consciousness; hospitalized four days, referred to outpatient physical therapy, work restricted eight weeks before full clearance. Alicia Mowbray (moderate): cervical and lumbar soft-tissue strain (whiplash) with multiple trunk/limb contusions; treated and released the same day, six weeks of outpatient physical therapy, light-duty work restriction for three weeks before full clearance. Each summary states diagnosis, treatment, and work status. | Size: ~2–4 pp | Style: clinical records tone.</t>
  </si>
  <si>
    <t>A46</t>
  </si>
  <si>
    <t>Blau Witness Statement</t>
  </si>
  <si>
    <t>/Shared/Witness/blau_statement.pdf</t>
  </si>
  <si>
    <t>T. Blau (witness)</t>
  </si>
  <si>
    <t>Witness statement of Terrence Blau, the uninjured third passenger. Recounts that the operator appeared impaired/nodding before the crash, the bus drifted and struck the pole and then the pedestrian, and the timing/sequence of events. Signed and dated. | Size: ~2–3 pp | Style: first-person witness statement.</t>
  </si>
  <si>
    <t>T2,T5,T9</t>
  </si>
  <si>
    <t>A47</t>
  </si>
  <si>
    <t>ACTD Owl-Service Operating Rules</t>
  </si>
  <si>
    <t>/ACTD/Ops/owl_service_rules.docx</t>
  </si>
  <si>
    <t>ACTD Owl-service operating rules/policy. Defines the six designated late-night 'Owl' routes (510, 511, 512, 514, 517, 519) and the Owl service window of 11:00 p.m.–5:00 a.m. daily, of which Route 512 runs a downtown Rivergate loop. Operative authorization provisions: (1) an Owl run is authorized only when it is a designated Owl route operating within the service window; (2) an operator is authorized to run it only if assigned to that block on the posted weekly run schedule/bid (cross-ref A08) and holding a current Class B passenger endorsement and DOT medical certification; (3) the run is not live until Dispatch issues the pull-out and logs it (cross-ref A13). | Size: ~2–3 pp | Style: professional, matter-of-fact.</t>
  </si>
  <si>
    <t>A08,A55</t>
  </si>
  <si>
    <t>Excess Risk-Pool Coverage Summary</t>
  </si>
  <si>
    <t>/ACTD/Risk/coverage_summary.pdf</t>
  </si>
  <si>
    <t>Public-entity risk pool</t>
  </si>
  <si>
    <t>Excess coverage summary from the public-entity risk-sharing pool. Coverage structure: ACTD self-insured retention of $2,000,000 per occurrence; a first excess layer of $8,000,000 above the retention; and a pooled excess layer to a program limit of $25,000,000. Lists covered perils, the retention, each layer's attachment point, and the claims-handling contact. | Size: ~1–2 pp | Style: insurance coverage summary.</t>
  </si>
  <si>
    <t>No trap of its own — a mandatory-disclosure coverage summary (CCP § 2017.210), not a claims-valuation document; A16, not this summary, carries the stale/inadequate-reserve trap.</t>
  </si>
  <si>
    <t>A49</t>
  </si>
  <si>
    <t>Bus Maintenance / Inspection Log</t>
  </si>
  <si>
    <t>Fleet system → maintenance table</t>
  </si>
  <si>
    <t>ACTD Fleet Maintenance</t>
  </si>
  <si>
    <t>ACTD's fleet-maintenance system: a per-vehicle service and inspection history logged by date, odometer, service type, technician, and result. | Size: ~30–100 rows CSV | Style: fleet-maintenance export.</t>
  </si>
  <si>
    <t>Blood-Draw Chain-of-Custody</t>
  </si>
  <si>
    <t>/Shared/CrimeLab/chain_custody.pdf</t>
  </si>
  <si>
    <t>Phlebotomist / crime lab</t>
  </si>
  <si>
    <t>Blood-draw chain-of-custody form supporting the evidentiary specimen behind A04. Columns/fields: specimen ID, collection date/time (10/18/2025, ~03:10 a.m.), collector (RN), kit lot, each transfer with signature and timestamp, and lab receipt (10/20/2025). | Size: ~1–2 pp | Style: forensic CCF form.</t>
  </si>
  <si>
    <t>T2,T10</t>
  </si>
  <si>
    <t>A51</t>
  </si>
  <si>
    <t>Recovered Parts / Scene Evidence Photo Log</t>
  </si>
  <si>
    <t>/Shared/Police/scene_photos_2025-1018.pdf</t>
  </si>
  <si>
    <t>Rivergate PD / evidence technician</t>
  </si>
  <si>
    <t>Captioned scene-photograph set from the responding officer's evidence log: the damaged City street-light standard and recovered debris, and the bus's front-end/undercarriage damage, taken during the on-scene investigation on 10/18/2025. Corroborates the impact sequence recorded in A01/A02 (bus struck the standard, then the pedestrian); no independent BAC, timing, or passenger-count figures. | Size: ~10–15 captioned photos | Style: police evidence-photo log.</t>
  </si>
  <si>
    <t>A01,A02</t>
  </si>
  <si>
    <t>No trap of its own — corroborates the impact sequence in A01/A02 with no independent BAC, timing, or passenger-count figures, so it does not carry A01's roadside-breath trap.</t>
  </si>
  <si>
    <t>Police Evidence Photo Log (sample)</t>
  </si>
  <si>
    <t>A52</t>
  </si>
  <si>
    <t>Tran Personal-Phone Text Thread</t>
  </si>
  <si>
    <t>PDF (export)</t>
  </si>
  <si>
    <t>W. Tran personal cell phone (SMS/iMessage) — outside ACTD's official systems</t>
  </si>
  <si>
    <t>W. Tran, ACTD Dispatch Supervisor (personal device)</t>
  </si>
  <si>
    <t>Text-message thread on Dispatch Supervisor Wesley Tran's personal cell phone with a fellow overnight dispatcher, 10/18/2025 03:20-03:40 a.m. Tran: "You seeing this Route 512 thing? I don't think Keeler was even supposed to be on that run tonight." Reply: "Thought he was off-book too, I'll check the board when I'm in." Tran: "Yeah don't say anything til we're sure." Repeats the same 'off-book' characterization as his early email (A09), sent before either party checked the printed run schedule (A08) or AVL (A12). Illustrates an ephemeral, personal-device communication channel outside ACTD's official systems that the litigation hold must reach — native format + metadata, not yet migrated into the shared claims file. | Size: ~1 p export | Style: text-message/SMS export.</t>
  </si>
  <si>
    <t>A09,A08,A12,A59</t>
  </si>
  <si>
    <t>Repeats the 'off-book' characterization from Tran's email (A09) in an ephemeral personal-device channel -- official run schedule (A08) and AVL (A12) control; same course-and-scope trap, now also an ESI-preservation target (T7).</t>
  </si>
  <si>
    <t>A53</t>
  </si>
  <si>
    <t>Onboard Video / Camera System Footage</t>
  </si>
  <si>
    <t>MP4 (clip export) + still-frame log</t>
  </si>
  <si>
    <t>Onboard camera system (vendor-hosted) → incident clip archive</t>
  </si>
  <si>
    <t>ACTD onboard video vendor / Fleet Safety</t>
  </si>
  <si>
    <t>ACTD's onboard camera vendor system: cab- and passenger-compartment cameras record continuously on a short retention loop, exportable as multi-camera composite clips with an accompanying still-frame log once preserved before the loop overwrites. | Size: clip exports ~5–10 minutes per preserved incident | Style: transit onboard-camera export.</t>
  </si>
  <si>
    <t>A01,A02,A46,A44,A59</t>
  </si>
  <si>
    <t>No trap of its own — the onboard video corroborates the impact sequence in A01/A02 and carries no BAC figure of its own, so it does not carry A01's roadside-breath trap.</t>
  </si>
  <si>
    <t>A54</t>
  </si>
  <si>
    <t>Keeler DMV Driving Record</t>
  </si>
  <si>
    <t>/ACTD/HR/Keeler_DMV_record.pdf</t>
  </si>
  <si>
    <t>California DMV (employer pull-notice program)</t>
  </si>
  <si>
    <t>DMV-issued driving record for Raymond T. Keeler, pulled under ACTD's employer pull-notice program, current as of 10/2025. Shows a valid Class B commercial license with passenger endorsement, a current DOT medical certificate on file, and no license restrictions or suspensions in effect as of the collision date; the pre-accident record shows no prior DUI convictions or accident-related actions. Corroborates the credentialing prong of the Owl-service operating rules (A47) and the personnel file (A19). | Size: ~1-2 pp | Style: DMV driving-record printout.</t>
  </si>
  <si>
    <t>A19,A47</t>
  </si>
  <si>
    <t>DMV Driving Record / Employer Pull Notice (sample)</t>
  </si>
  <si>
    <t>A55</t>
  </si>
  <si>
    <t>Route 512 Owl Block Bid Award Notice</t>
  </si>
  <si>
    <t>/ACTD/Ops/bid_award_512OWL.docx</t>
  </si>
  <si>
    <t>ACTD Operations / Scheduling</t>
  </si>
  <si>
    <t>Union bid-award notice (effective 09/2025 rating period, covering 10/18/2025) confirming operator R. Keeler (badge #4417) bid for and was awarded block 512-OWL under the collective-bargaining bid process, consistent with the printed run schedule (A08) and the Owl-service operating rules' assignment requirement (A47). Corroborates that Keeler was the assigned, credentialed operator for Route 512 that night. | Size: ~1 p | Style: internal scheduling/bid notice.</t>
  </si>
  <si>
    <t>A08,A47</t>
  </si>
  <si>
    <t>A56</t>
  </si>
  <si>
    <t>Rivergate PD Field Sobriety Test / Arrest Narrative Supplement</t>
  </si>
  <si>
    <t>/Shared/Police/FST_supplement_2025-1018.pdf</t>
  </si>
  <si>
    <t>Supplemental narrative to the traffic collision report (A01) detailing standardized field sobriety tests administered at the scene (HGN, walk-and-turn, one-leg stand -- all clues consistent with impairment), the officer's observed indicia (odor of alcohol, slurred speech, bloodshot/watery eyes), and the arrest time (02:35 a.m., 10/18/2025), preceding the DOT post-accident test (A05) and the confirmed blood draw (A04). | Size: ~2 pp | Style: CHP supplemental narrative report.</t>
  </si>
  <si>
    <t>A01,A06</t>
  </si>
  <si>
    <t>No trap of its own — supplements A01 with field-sobriety and arrest-timing detail; it does not carry A01's roadside-breath trap.</t>
  </si>
  <si>
    <t>Police DUI Investigation Supplemental Report (sample)</t>
  </si>
  <si>
    <t>A57</t>
  </si>
  <si>
    <t>ACTD Post-Accident Drug &amp; Alcohol Testing Policy</t>
  </si>
  <si>
    <t>/ACTD/Compliance/post_accident_testing_policy.docx</t>
  </si>
  <si>
    <t>ACTD Compliance</t>
  </si>
  <si>
    <t>Internal compliance policy implementing the federal post-accident testing mandate for safety-sensitive transit employees under 49 CFR Parts 655 and 40: a DOT alcohol test — an initial screening test using an approved screening device (an evidential breath testing device, EBT, or a non-evidential alcohol screening device, ASD — both breath-based and on the NHTSA Conforming Products List, per 49 CFR §40.243) and, if that screening result is positive, a confirmation test performed only on an evidential breath testing device, EBT (49 CFR §40.253) -- non-evidential devices are not permitted for confirmation -- and, separately, a DOT drug test (urine specimen) -- the post-accident testing triggers and timing windows for each, BAT/collector certification requirements, and chain-of-custody procedures. Cross-references the DOT post-accident test record (A05). Expressly distinguishes this federal alcohol/drug testing regime from the county crime lab's evidentiary BLOOD draw (A04), which is a separate law-enforcement/forensic specimen obtained under state criminal process, not a DOT-directed test. Cross-references the personnel file's testing history (A19). | Size: ~3-5 pp | Style: internal compliance policy.</t>
  </si>
  <si>
    <t>A05,A19</t>
  </si>
  <si>
    <t>FTA Drug &amp; Alcohol Testing Policy (sample)</t>
  </si>
  <si>
    <t>A58</t>
  </si>
  <si>
    <t>City of Rivergate Light-Standard Repair Invoice</t>
  </si>
  <si>
    <t>/Shared/City/repair_invoice_0202.pdf</t>
  </si>
  <si>
    <t>City of Rivergate Public Works</t>
  </si>
  <si>
    <t>Itemized public-works invoice supporting the City's $48,500 property-damage demand (A40): replacement pole, fixture and wiring, traffic-control flagging during repair, and labor, dated 01/2026. Corroborates the property-damage figure and the comparative-causation thread (the bus struck the standard, darkening the fixture, before striking the pedestrian). | Size: ~1-2 pp | Style: municipal public-works invoice.</t>
  </si>
  <si>
    <t>A59</t>
  </si>
  <si>
    <t>Halstead &amp; Cruz Litigation-Hold / Preservation Demand Letter</t>
  </si>
  <si>
    <t>/Legal/Discovery/hold_demand_letter.pdf</t>
  </si>
  <si>
    <t>Halstead &amp; Cruz LLP -- Nora Halstead</t>
  </si>
  <si>
    <t>Formal preservation-demand letter from plaintiff's counsel to ACTD General Counsel (Farkas), sent shortly after retention (03/2026), identifying categories of evidence and ESI to preserve: the bus and recovered parts, telematics/AVL, the onboard video system's short retention loop, dispatch and HR records, and -- by name -- supervisory personal-device communications concerning the incident. External trigger that, together with ACTD's own common-law duty (attaching at the latest at the collision), frames the domains the internal litigation-hold memo must reach, including Tran's personal-phone thread (A52) and the onboard video (A53). | Size: ~2-3 pp | Style: formal demand letter.</t>
  </si>
  <si>
    <t>A30,A52,A53</t>
  </si>
  <si>
    <t>No trap of its own — the demand letter names Tran's personal-phone thread (A52) as a preservation target; A52, not this letter, carries the 'off-book' trap.</t>
  </si>
  <si>
    <t>Litigation Hold / Preservation Demand Letter (sample)</t>
  </si>
  <si>
    <t>A60</t>
  </si>
  <si>
    <t>Reyes Pre-Accident Employment Verification Letter</t>
  </si>
  <si>
    <t>/Legal/Reyes/employment_verification.pdf</t>
  </si>
  <si>
    <t>Employer HR (retail employer)</t>
  </si>
  <si>
    <t>Employer-signed verification of Yolanda Reyes's pre-accident position (Sales Associate), hourly wage ($23.50/hour), and average scheduled hours (34 hours/week, ~$41,500 annualized) at her retail employer as of 10/2025, supporting the wage/earning-capacity worksheet (A37). | Size: ~1 p | Style: employer verification letter.</t>
  </si>
  <si>
    <t>A61</t>
  </si>
  <si>
    <t>Reyes Complaint for Damages (Filed &amp; Served)</t>
  </si>
  <si>
    <t>/Shared/CivilCase/Complaint_Reyes_filed.pdf</t>
  </si>
  <si>
    <t>Halstead &amp; Cruz LLP — Nora Halstead (attorney of record); filed with LASC</t>
  </si>
  <si>
    <t>Yolanda Reyes's own civil complaint for damages against ACTD and Keeler, filed by Halstead &amp; Cruz LLP with LASC on 05/20/2026 and served on the District on 05/22/2026, while her § 911.4 late-claim application (A33) remains pending before the Board. LASC caption per the 1.6 style guide: SUPERIOR COURT OF THE STATE OF CALIFORNIA, COUNTY OF LOS ANGELES; YOLANDA REYES, Plaintiff, v. ALDER CREEK TRANSIT DISTRICT; RAYMOND T. KEELER; and DOES 1–50, Defendants; Case No. 26STCV04127; COMPLAINT FOR DAMAGES. Pleads negligence, negligence per se (Veh.C. §23153, blood BAC 0.14%), and respondeat superior (Gov.C. §815.2) against ACTD and Keeler. Pleads the merits only — does not address her own claim-presentation posture. | Size: ~4–6 pp | Style: LASC civil complaint, Judicial Council caption.</t>
  </si>
  <si>
    <t>A02,A30,A33,A44</t>
  </si>
  <si>
    <t>No trap of its own — pleads the merits only; A33, not this complaint, discloses the claim-presentation posture a well-drafted Answer must plead against (T8).</t>
  </si>
  <si>
    <t>Complaint for Damages (Judicial Council PLD-PI-001, sample)</t>
  </si>
  <si>
    <t>A62</t>
  </si>
  <si>
    <t>Halstead &amp; Cruz Matter Calendar / Practice-Management System</t>
  </si>
  <si>
    <t>Practice-management system → matter deadlines module</t>
  </si>
  <si>
    <t>Halstead &amp; Cruz LLP (internal system)</t>
  </si>
  <si>
    <t>Halstead &amp; Cruz LLP's practice-management system: tracks each open matter's key dates in a calendar/docketing module, including a computed deadline field per matter. | Size: n/a (live system record) | Style: practice-management system export.</t>
  </si>
  <si>
    <t>A30, A33, A38, A39, A41</t>
  </si>
  <si>
    <t>The matter's case-level 'suit deadline' field reflects a single accrual+2-year computation applied uniformly to all three claimants; it does not reflect the reject+6-month basis that actually governs the passengers, nor the separate §911.4/§946.6 track that governs the pedestrian claimant.</t>
  </si>
  <si>
    <t>T1,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</si>
</sst>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
    <numFmt numFmtId="166" formatCode="mm/dd/yyyy"/>
    <numFmt numFmtId="167" formatCode="0.0%"/>
  </numFmts>
  <fonts count="9" x14ac:knownFonts="1">
    <font>
      <sz val="11"/>
      <color theme="1"/>
      <name val="Calibri"/>
      <family val="2"/>
      <charset val="1"/>
    </font>
    <font>
      <b/>
      <sz val="11"/>
      <color rgb="FFFFFFFF"/>
      <name val="Arial"/>
      <family val="2"/>
      <charset val="1"/>
    </font>
    <font>
      <b/>
      <sz val="11"/>
      <color rgb="FF1F3864"/>
      <name val="Arial"/>
      <family val="2"/>
      <charset val="1"/>
    </font>
    <font>
      <b/>
      <sz val="10"/>
      <color rgb="FF000000"/>
      <name val="Arial"/>
      <family val="2"/>
      <charset val="1"/>
    </font>
    <font>
      <sz val="10"/>
      <color rgb="FF000000"/>
      <name val="Arial"/>
      <family val="2"/>
      <charset val="1"/>
    </font>
    <font>
      <b/>
      <sz val="10"/>
      <color rgb="FFFFFFFF"/>
      <name val="Arial"/>
      <family val="2"/>
      <charset val="1"/>
    </font>
    <font>
      <i/>
      <sz val="10"/>
      <color rgb="FF595959"/>
      <name val="Arial"/>
      <family val="2"/>
      <charset val="1"/>
    </font>
    <font>
      <b/>
      <sz val="10"/>
      <name val="Arial"/>
      <family val="2"/>
      <charset val="1"/>
    </font>
    <font>
      <sz val="10"/>
      <name val="Arial"/>
      <family val="2"/>
      <charset val="1"/>
    </font>
  </fonts>
  <fills count="7">
    <fill>
      <patternFill patternType="none"/>
    </fill>
    <fill>
      <patternFill patternType="gray125"/>
    </fill>
    <fill>
      <patternFill patternType="solid">
        <fgColor rgb="FF1F3864"/>
        <bgColor rgb="FF333333"/>
      </patternFill>
    </fill>
    <fill>
      <patternFill patternType="solid">
        <fgColor rgb="FFD9E1F2"/>
        <bgColor rgb="FFF2F2F2"/>
      </patternFill>
    </fill>
    <fill>
      <patternFill patternType="solid">
        <fgColor rgb="FF2F5496"/>
        <bgColor rgb="FF1F3864"/>
      </patternFill>
    </fill>
    <fill>
      <patternFill patternType="solid">
        <fgColor rgb="FFF2F2F2"/>
        <bgColor rgb="FFFFFFFF"/>
      </patternFill>
    </fill>
    <fill>
      <patternFill patternType="solid">
        <fgColor rgb="FFFCE4D6"/>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6" fillId="5" borderId="0" xfId="0" applyFont="1" applyFill="1" applyAlignment="1">
      <alignment vertical="top" wrapText="1"/>
    </xf>
    <xf numFmtId="0" fontId="4" fillId="0" borderId="0" xfId="0" applyFont="1" applyAlignment="1">
      <alignment vertical="top" wrapText="1"/>
    </xf>
    <xf numFmtId="0" fontId="1" fillId="2" borderId="0" xfId="0" applyFont="1" applyFill="1"/>
    <xf numFmtId="0" fontId="1" fillId="2" borderId="0" xfId="0" applyFont="1" applyFill="1"/>
    <xf numFmtId="0" fontId="2" fillId="3" borderId="0" xfId="0" applyFont="1" applyFill="1"/>
    <xf numFmtId="0" fontId="0" fillId="3" borderId="0" xfId="0" applyFill="1"/>
    <xf numFmtId="0" fontId="3" fillId="0" borderId="0" xfId="0" applyFont="1" applyAlignment="1">
      <alignment vertical="top" wrapText="1"/>
    </xf>
    <xf numFmtId="0" fontId="5" fillId="4"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top" wrapText="1"/>
    </xf>
    <xf numFmtId="164" fontId="4" fillId="0" borderId="1" xfId="0" applyNumberFormat="1" applyFont="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vertical="top" wrapText="1"/>
    </xf>
    <xf numFmtId="164" fontId="4" fillId="6" borderId="1" xfId="0" applyNumberFormat="1" applyFont="1" applyFill="1" applyBorder="1" applyAlignment="1">
      <alignment vertical="top" wrapText="1"/>
    </xf>
    <xf numFmtId="1" fontId="4" fillId="0" borderId="1" xfId="0" applyNumberFormat="1" applyFont="1" applyBorder="1" applyAlignment="1">
      <alignment vertical="top" wrapText="1"/>
    </xf>
    <xf numFmtId="165" fontId="4" fillId="6" borderId="1" xfId="0" applyNumberFormat="1" applyFont="1" applyFill="1" applyBorder="1" applyAlignment="1">
      <alignment vertical="top" wrapText="1"/>
    </xf>
    <xf numFmtId="165" fontId="4" fillId="0" borderId="1" xfId="0" applyNumberFormat="1" applyFont="1" applyBorder="1" applyAlignment="1">
      <alignment vertical="top" wrapText="1"/>
    </xf>
    <xf numFmtId="166" fontId="4" fillId="0" borderId="1" xfId="0" applyNumberFormat="1" applyFont="1" applyBorder="1" applyAlignment="1">
      <alignment vertical="top" wrapText="1"/>
    </xf>
    <xf numFmtId="166" fontId="4" fillId="6" borderId="1" xfId="0" applyNumberFormat="1"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167" fontId="4" fillId="0" borderId="1" xfId="0" applyNumberFormat="1" applyFont="1" applyBorder="1" applyAlignment="1">
      <alignment vertical="top" wrapText="1"/>
    </xf>
    <xf numFmtId="10" fontId="4" fillId="6"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tabSelected="1"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30" customWidth="1"/>
    <col min="3" max="4" width="22" customWidth="1"/>
    <col min="5" max="5" width="40" customWidth="1"/>
    <col min="6" max="8" width="22" customWidth="1"/>
  </cols>
  <sheetData>
    <row r="1" spans="1:8" ht="15" customHeight="1" x14ac:dyDescent="0.2">
      <c r="A1" s="4" t="s">
        <v>0</v>
      </c>
      <c r="B1" s="3" t="s">
        <v>1</v>
      </c>
      <c r="C1" s="3"/>
      <c r="D1" s="3"/>
      <c r="E1" s="3"/>
      <c r="F1" s="3"/>
      <c r="G1" s="3"/>
      <c r="H1" s="3"/>
    </row>
    <row r="2" spans="1:8" ht="15" customHeight="1" x14ac:dyDescent="0.2">
      <c r="A2" s="5" t="s">
        <v>2</v>
      </c>
      <c r="B2" s="6"/>
      <c r="C2" s="6"/>
      <c r="D2" s="6"/>
      <c r="E2" s="6"/>
      <c r="F2" s="6"/>
      <c r="G2" s="6"/>
      <c r="H2" s="6"/>
    </row>
    <row r="3" spans="1:8" ht="34.5" customHeight="1" x14ac:dyDescent="0.2">
      <c r="A3" s="7" t="s">
        <v>3</v>
      </c>
      <c r="B3" s="2" t="s">
        <v>4</v>
      </c>
      <c r="C3" s="2"/>
      <c r="D3" s="2"/>
      <c r="E3" s="2"/>
      <c r="F3" s="2"/>
      <c r="G3" s="2"/>
      <c r="H3" s="2"/>
    </row>
    <row r="4" spans="1:8" ht="34.5" customHeight="1" x14ac:dyDescent="0.2">
      <c r="A4" s="7" t="s">
        <v>5</v>
      </c>
      <c r="B4" s="2" t="s">
        <v>6</v>
      </c>
      <c r="C4" s="2"/>
      <c r="D4" s="2"/>
      <c r="E4" s="2"/>
      <c r="F4" s="2"/>
      <c r="G4" s="2"/>
      <c r="H4" s="2"/>
    </row>
    <row r="5" spans="1:8" ht="34.5" customHeight="1" x14ac:dyDescent="0.2">
      <c r="A5" s="7" t="s">
        <v>7</v>
      </c>
      <c r="B5" s="2" t="s">
        <v>8</v>
      </c>
      <c r="C5" s="2"/>
      <c r="D5" s="2"/>
      <c r="E5" s="2"/>
      <c r="F5" s="2"/>
      <c r="G5" s="2"/>
      <c r="H5" s="2"/>
    </row>
    <row r="6" spans="1:8" ht="34.5" customHeight="1" x14ac:dyDescent="0.2">
      <c r="A6" s="7" t="s">
        <v>9</v>
      </c>
      <c r="B6" s="2" t="s">
        <v>10</v>
      </c>
      <c r="C6" s="2"/>
      <c r="D6" s="2"/>
      <c r="E6" s="2"/>
      <c r="F6" s="2"/>
      <c r="G6" s="2"/>
      <c r="H6" s="2"/>
    </row>
    <row r="7" spans="1:8" ht="15" customHeight="1" x14ac:dyDescent="0.2">
      <c r="A7" s="5" t="s">
        <v>11</v>
      </c>
      <c r="B7" s="6"/>
      <c r="C7" s="6"/>
      <c r="D7" s="6"/>
      <c r="E7" s="6"/>
      <c r="F7" s="6"/>
      <c r="G7" s="6"/>
      <c r="H7" s="6"/>
    </row>
    <row r="8" spans="1:8" ht="213.75" customHeight="1" x14ac:dyDescent="0.2">
      <c r="A8" s="7" t="s">
        <v>12</v>
      </c>
      <c r="B8" s="2" t="s">
        <v>13</v>
      </c>
      <c r="C8" s="2"/>
      <c r="D8" s="2"/>
      <c r="E8" s="2"/>
      <c r="F8" s="2"/>
      <c r="G8" s="2"/>
      <c r="H8" s="2"/>
    </row>
    <row r="9" spans="1:8" ht="15" customHeight="1" x14ac:dyDescent="0.2">
      <c r="A9" s="5" t="s">
        <v>14</v>
      </c>
      <c r="B9" s="6"/>
      <c r="C9" s="6"/>
      <c r="D9" s="6"/>
      <c r="E9" s="6"/>
      <c r="F9" s="6"/>
      <c r="G9" s="6"/>
      <c r="H9" s="6"/>
    </row>
    <row r="10" spans="1:8" ht="34.5" customHeight="1" x14ac:dyDescent="0.2">
      <c r="A10" s="7" t="s">
        <v>15</v>
      </c>
      <c r="B10" s="2" t="s">
        <v>16</v>
      </c>
      <c r="C10" s="2"/>
      <c r="D10" s="2"/>
      <c r="E10" s="2"/>
      <c r="F10" s="2"/>
      <c r="G10" s="2"/>
      <c r="H10" s="2"/>
    </row>
    <row r="11" spans="1:8" ht="45.75" customHeight="1" x14ac:dyDescent="0.2">
      <c r="A11" s="7" t="s">
        <v>17</v>
      </c>
      <c r="B11" s="2" t="s">
        <v>18</v>
      </c>
      <c r="C11" s="2"/>
      <c r="D11" s="2"/>
      <c r="E11" s="2"/>
      <c r="F11" s="2"/>
      <c r="G11" s="2"/>
      <c r="H11" s="2"/>
    </row>
    <row r="12" spans="1:8" ht="15" customHeight="1" x14ac:dyDescent="0.2">
      <c r="A12" s="7" t="s">
        <v>19</v>
      </c>
      <c r="B12" s="2" t="s">
        <v>20</v>
      </c>
      <c r="C12" s="2"/>
      <c r="D12" s="2"/>
      <c r="E12" s="2"/>
      <c r="F12" s="2"/>
      <c r="G12" s="2"/>
      <c r="H12" s="2"/>
    </row>
    <row r="13" spans="1:8" ht="15" customHeight="1" x14ac:dyDescent="0.2">
      <c r="A13" s="5" t="s">
        <v>21</v>
      </c>
      <c r="B13" s="6"/>
      <c r="C13" s="6"/>
      <c r="D13" s="6"/>
      <c r="E13" s="6"/>
      <c r="F13" s="6"/>
      <c r="G13" s="6"/>
      <c r="H13" s="6"/>
    </row>
    <row r="14" spans="1:8" ht="23.25" customHeight="1" x14ac:dyDescent="0.2">
      <c r="A14" s="7" t="s">
        <v>22</v>
      </c>
      <c r="B14" s="2" t="s">
        <v>23</v>
      </c>
      <c r="C14" s="2"/>
      <c r="D14" s="2"/>
      <c r="E14" s="2"/>
      <c r="F14" s="2"/>
      <c r="G14" s="2"/>
      <c r="H14" s="2"/>
    </row>
    <row r="15" spans="1:8" ht="15" customHeight="1" x14ac:dyDescent="0.2">
      <c r="A15" s="8" t="s">
        <v>24</v>
      </c>
      <c r="B15" s="8" t="s">
        <v>25</v>
      </c>
      <c r="C15" s="8" t="s">
        <v>26</v>
      </c>
      <c r="D15" s="8" t="s">
        <v>27</v>
      </c>
      <c r="E15" s="8" t="s">
        <v>28</v>
      </c>
      <c r="F15" s="8" t="s">
        <v>29</v>
      </c>
      <c r="G15" s="8" t="s">
        <v>30</v>
      </c>
      <c r="H15" s="8" t="s">
        <v>31</v>
      </c>
    </row>
    <row r="16" spans="1:8" ht="34.5" customHeight="1" x14ac:dyDescent="0.2">
      <c r="A16" s="9" t="s">
        <v>32</v>
      </c>
      <c r="B16" s="10" t="s">
        <v>33</v>
      </c>
      <c r="C16" s="10" t="s">
        <v>34</v>
      </c>
      <c r="D16" s="10" t="s">
        <v>35</v>
      </c>
      <c r="E16" s="10" t="s">
        <v>36</v>
      </c>
      <c r="F16" s="10" t="s">
        <v>37</v>
      </c>
      <c r="G16" s="10" t="s">
        <v>38</v>
      </c>
      <c r="H16" s="10" t="s">
        <v>39</v>
      </c>
    </row>
    <row r="17" spans="1:8" ht="34.5" customHeight="1" x14ac:dyDescent="0.2">
      <c r="A17" s="9" t="s">
        <v>40</v>
      </c>
      <c r="B17" s="10" t="s">
        <v>41</v>
      </c>
      <c r="C17" s="10" t="s">
        <v>42</v>
      </c>
      <c r="D17" s="10" t="s">
        <v>43</v>
      </c>
      <c r="E17" s="10" t="s">
        <v>44</v>
      </c>
      <c r="F17" s="10" t="s">
        <v>45</v>
      </c>
      <c r="G17" s="10" t="s">
        <v>46</v>
      </c>
      <c r="H17" s="10" t="s">
        <v>47</v>
      </c>
    </row>
    <row r="18" spans="1:8" ht="23.25" customHeight="1" x14ac:dyDescent="0.2">
      <c r="A18" s="9" t="s">
        <v>48</v>
      </c>
      <c r="B18" s="10" t="s">
        <v>49</v>
      </c>
      <c r="C18" s="10" t="s">
        <v>50</v>
      </c>
      <c r="D18" s="10" t="s">
        <v>51</v>
      </c>
      <c r="E18" s="10" t="s">
        <v>52</v>
      </c>
      <c r="F18" s="10" t="s">
        <v>45</v>
      </c>
      <c r="G18" s="10" t="s">
        <v>53</v>
      </c>
      <c r="H18" s="10" t="s">
        <v>46</v>
      </c>
    </row>
    <row r="19" spans="1:8" ht="23.25" customHeight="1" x14ac:dyDescent="0.2">
      <c r="A19" s="9" t="s">
        <v>54</v>
      </c>
      <c r="B19" s="10" t="s">
        <v>55</v>
      </c>
      <c r="C19" s="10" t="s">
        <v>56</v>
      </c>
      <c r="D19" s="10" t="s">
        <v>57</v>
      </c>
      <c r="E19" s="10" t="s">
        <v>58</v>
      </c>
      <c r="F19" s="10" t="s">
        <v>45</v>
      </c>
      <c r="G19" s="10" t="s">
        <v>53</v>
      </c>
      <c r="H19" s="10" t="s">
        <v>53</v>
      </c>
    </row>
    <row r="20" spans="1:8" ht="23.25" customHeight="1" x14ac:dyDescent="0.2">
      <c r="A20" s="9" t="s">
        <v>59</v>
      </c>
      <c r="B20" s="10" t="s">
        <v>60</v>
      </c>
      <c r="C20" s="10" t="s">
        <v>61</v>
      </c>
      <c r="D20" s="10" t="s">
        <v>62</v>
      </c>
      <c r="E20" s="10" t="s">
        <v>63</v>
      </c>
      <c r="F20" s="10" t="s">
        <v>45</v>
      </c>
      <c r="G20" s="10" t="s">
        <v>64</v>
      </c>
      <c r="H20" s="10" t="s">
        <v>65</v>
      </c>
    </row>
    <row r="21" spans="1:8" ht="34.5" customHeight="1" x14ac:dyDescent="0.2">
      <c r="A21" s="9" t="s">
        <v>66</v>
      </c>
      <c r="B21" s="10" t="s">
        <v>67</v>
      </c>
      <c r="C21" s="10" t="s">
        <v>68</v>
      </c>
      <c r="D21" s="10" t="s">
        <v>69</v>
      </c>
      <c r="E21" s="10" t="s">
        <v>70</v>
      </c>
      <c r="F21" s="10" t="s">
        <v>45</v>
      </c>
      <c r="G21" s="10" t="s">
        <v>65</v>
      </c>
      <c r="H21" s="10" t="s">
        <v>71</v>
      </c>
    </row>
    <row r="22" spans="1:8" ht="34.5" customHeight="1" x14ac:dyDescent="0.2">
      <c r="A22" s="9" t="s">
        <v>72</v>
      </c>
      <c r="B22" s="10" t="s">
        <v>73</v>
      </c>
      <c r="C22" s="10" t="s">
        <v>74</v>
      </c>
      <c r="D22" s="10" t="s">
        <v>69</v>
      </c>
      <c r="E22" s="10" t="s">
        <v>75</v>
      </c>
      <c r="F22" s="10" t="s">
        <v>37</v>
      </c>
      <c r="G22" s="10" t="s">
        <v>38</v>
      </c>
      <c r="H22" s="10" t="s">
        <v>76</v>
      </c>
    </row>
    <row r="23" spans="1:8" ht="34.5" customHeight="1" x14ac:dyDescent="0.2">
      <c r="A23" s="9" t="s">
        <v>77</v>
      </c>
      <c r="B23" s="10" t="s">
        <v>78</v>
      </c>
      <c r="C23" s="10" t="s">
        <v>79</v>
      </c>
      <c r="D23" s="10" t="s">
        <v>80</v>
      </c>
      <c r="E23" s="10" t="s">
        <v>81</v>
      </c>
      <c r="F23" s="10" t="s">
        <v>37</v>
      </c>
      <c r="G23" s="10" t="s">
        <v>38</v>
      </c>
      <c r="H23" s="10" t="s">
        <v>82</v>
      </c>
    </row>
    <row r="24" spans="1:8" ht="34.5" customHeight="1" x14ac:dyDescent="0.2">
      <c r="A24" s="9" t="s">
        <v>83</v>
      </c>
      <c r="B24" s="10" t="s">
        <v>84</v>
      </c>
      <c r="C24" s="10" t="s">
        <v>85</v>
      </c>
      <c r="D24" s="10" t="s">
        <v>86</v>
      </c>
      <c r="E24" s="10" t="s">
        <v>87</v>
      </c>
      <c r="F24" s="10" t="s">
        <v>37</v>
      </c>
      <c r="G24" s="10" t="s">
        <v>38</v>
      </c>
      <c r="H24" s="10" t="s">
        <v>64</v>
      </c>
    </row>
    <row r="25" spans="1:8" ht="34.5" customHeight="1" x14ac:dyDescent="0.2">
      <c r="A25" s="9" t="s">
        <v>88</v>
      </c>
      <c r="B25" s="10" t="s">
        <v>89</v>
      </c>
      <c r="C25" s="10" t="s">
        <v>90</v>
      </c>
      <c r="D25" s="10" t="s">
        <v>91</v>
      </c>
      <c r="E25" s="10" t="s">
        <v>92</v>
      </c>
      <c r="F25" s="10" t="s">
        <v>37</v>
      </c>
      <c r="G25" s="10" t="s">
        <v>38</v>
      </c>
      <c r="H25" s="10"/>
    </row>
    <row r="26" spans="1:8" ht="60" customHeight="1" x14ac:dyDescent="0.2">
      <c r="A26" s="9" t="s">
        <v>93</v>
      </c>
      <c r="B26" s="10" t="s">
        <v>94</v>
      </c>
      <c r="C26" s="10" t="s">
        <v>95</v>
      </c>
      <c r="D26" s="10" t="s">
        <v>96</v>
      </c>
      <c r="E26" s="10" t="s">
        <v>97</v>
      </c>
      <c r="F26" s="10" t="s">
        <v>45</v>
      </c>
      <c r="G26" s="10" t="s">
        <v>71</v>
      </c>
      <c r="H26" s="10"/>
    </row>
    <row r="27" spans="1:8" ht="60" customHeight="1" x14ac:dyDescent="0.2">
      <c r="A27" s="9" t="s">
        <v>98</v>
      </c>
      <c r="B27" s="10" t="s">
        <v>99</v>
      </c>
      <c r="C27" s="10" t="s">
        <v>100</v>
      </c>
      <c r="D27" s="10" t="s">
        <v>101</v>
      </c>
      <c r="E27" s="10" t="s">
        <v>102</v>
      </c>
      <c r="F27" s="10" t="s">
        <v>37</v>
      </c>
      <c r="G27" s="10" t="s">
        <v>38</v>
      </c>
      <c r="H27" s="10"/>
    </row>
    <row r="28" spans="1:8" ht="247.5" customHeight="1" x14ac:dyDescent="0.2">
      <c r="A28" s="5" t="s">
        <v>103</v>
      </c>
      <c r="B28" s="6"/>
    </row>
    <row r="29" spans="1:8" ht="23.25" customHeight="1" x14ac:dyDescent="0.2">
      <c r="A29" s="7" t="s">
        <v>104</v>
      </c>
      <c r="B29" s="2" t="s">
        <v>105</v>
      </c>
      <c r="C29" s="2"/>
      <c r="D29" s="2"/>
      <c r="E29" s="2"/>
      <c r="F29" s="2"/>
      <c r="G29" s="2"/>
      <c r="H29" s="2"/>
    </row>
    <row r="30" spans="1:8" ht="15" customHeight="1" x14ac:dyDescent="0.2">
      <c r="A30" s="7" t="s">
        <v>106</v>
      </c>
      <c r="B30" s="2" t="s">
        <v>107</v>
      </c>
      <c r="C30" s="2"/>
      <c r="D30" s="2"/>
      <c r="E30" s="2"/>
      <c r="F30" s="2"/>
      <c r="G30" s="2"/>
      <c r="H30" s="2"/>
    </row>
    <row r="31" spans="1:8" ht="102" customHeight="1" x14ac:dyDescent="0.2">
      <c r="A31" s="5" t="s">
        <v>108</v>
      </c>
      <c r="B31" s="6"/>
    </row>
    <row r="32" spans="1:8" ht="15" customHeight="1" x14ac:dyDescent="0.2">
      <c r="A32" s="7" t="s">
        <v>109</v>
      </c>
      <c r="B32" s="2" t="s">
        <v>110</v>
      </c>
      <c r="C32" s="2"/>
      <c r="D32" s="2"/>
      <c r="E32" s="2"/>
      <c r="F32" s="2"/>
      <c r="G32" s="2"/>
      <c r="H32" s="2"/>
    </row>
    <row r="33" spans="1:8" ht="213.75" customHeight="1" x14ac:dyDescent="0.2">
      <c r="A33" s="5" t="s">
        <v>111</v>
      </c>
      <c r="B33" s="6"/>
    </row>
    <row r="34" spans="1:8" ht="213.75" customHeight="1" x14ac:dyDescent="0.2">
      <c r="A34" s="7" t="s">
        <v>112</v>
      </c>
      <c r="B34" s="2" t="s">
        <v>113</v>
      </c>
      <c r="C34" s="2"/>
      <c r="D34" s="2"/>
      <c r="E34" s="2"/>
      <c r="F34" s="2"/>
      <c r="G34" s="2"/>
      <c r="H34" s="2"/>
    </row>
  </sheetData>
  <mergeCells count="14">
    <mergeCell ref="B29:H29"/>
    <mergeCell ref="B30:H30"/>
    <mergeCell ref="B32:H32"/>
    <mergeCell ref="B34:H34"/>
    <mergeCell ref="B8:H8"/>
    <mergeCell ref="B10:H10"/>
    <mergeCell ref="B11:H11"/>
    <mergeCell ref="B12:H12"/>
    <mergeCell ref="B14:H14"/>
    <mergeCell ref="B1:H1"/>
    <mergeCell ref="B3:H3"/>
    <mergeCell ref="B4:H4"/>
    <mergeCell ref="B5:H5"/>
    <mergeCell ref="B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zoomScaleNormal="100" workbookViewId="0">
      <pane ySplit="2" topLeftCell="A3" activePane="bottomLeft" state="frozen"/>
      <selection pane="bottomLeft"/>
    </sheetView>
  </sheetViews>
  <sheetFormatPr baseColWidth="10" defaultColWidth="8.6640625" defaultRowHeight="15" x14ac:dyDescent="0.2"/>
  <cols>
    <col min="1" max="1" width="30" customWidth="1"/>
    <col min="2" max="2" width="10" customWidth="1"/>
    <col min="3" max="3" width="26" customWidth="1"/>
    <col min="4" max="4" width="16" customWidth="1"/>
    <col min="5" max="5" width="20" customWidth="1"/>
    <col min="6" max="6" width="52" customWidth="1"/>
  </cols>
  <sheetData>
    <row r="1" spans="1:6" ht="23.25" customHeight="1" x14ac:dyDescent="0.2">
      <c r="A1" s="11" t="s">
        <v>114</v>
      </c>
      <c r="B1" s="11" t="s">
        <v>115</v>
      </c>
      <c r="C1" s="11" t="s">
        <v>116</v>
      </c>
      <c r="D1" s="11" t="s">
        <v>117</v>
      </c>
      <c r="E1" s="11" t="s">
        <v>118</v>
      </c>
      <c r="F1" s="11" t="s">
        <v>119</v>
      </c>
    </row>
    <row r="2" spans="1:6" ht="23.25" customHeight="1" x14ac:dyDescent="0.2">
      <c r="A2" s="1" t="s">
        <v>120</v>
      </c>
      <c r="B2" s="1"/>
      <c r="C2" s="1"/>
      <c r="D2" s="1"/>
      <c r="E2" s="1"/>
      <c r="F2" s="1"/>
    </row>
    <row r="3" spans="1:6" ht="15" customHeight="1" x14ac:dyDescent="0.2">
      <c r="A3" s="9" t="s">
        <v>121</v>
      </c>
      <c r="B3" s="10" t="s">
        <v>122</v>
      </c>
      <c r="C3" s="12">
        <v>0.14000000000000001</v>
      </c>
      <c r="D3" s="10" t="s">
        <v>123</v>
      </c>
      <c r="E3" s="10" t="s">
        <v>124</v>
      </c>
      <c r="F3" s="10" t="s">
        <v>125</v>
      </c>
    </row>
    <row r="4" spans="1:6" ht="15" customHeight="1" x14ac:dyDescent="0.2">
      <c r="A4" s="13" t="s">
        <v>126</v>
      </c>
      <c r="B4" s="14" t="s">
        <v>127</v>
      </c>
      <c r="C4" s="15">
        <v>0.11</v>
      </c>
      <c r="D4" s="14" t="s">
        <v>128</v>
      </c>
      <c r="E4" s="14" t="s">
        <v>129</v>
      </c>
      <c r="F4" s="14" t="s">
        <v>130</v>
      </c>
    </row>
    <row r="5" spans="1:6" ht="15" customHeight="1" x14ac:dyDescent="0.2">
      <c r="A5" s="9" t="s">
        <v>131</v>
      </c>
      <c r="B5" s="10" t="s">
        <v>122</v>
      </c>
      <c r="C5" s="16">
        <v>3</v>
      </c>
      <c r="D5" s="10" t="s">
        <v>132</v>
      </c>
      <c r="E5" s="10" t="s">
        <v>133</v>
      </c>
      <c r="F5" s="10" t="s">
        <v>134</v>
      </c>
    </row>
    <row r="6" spans="1:6" ht="15" customHeight="1" x14ac:dyDescent="0.2">
      <c r="A6" s="13" t="s">
        <v>135</v>
      </c>
      <c r="B6" s="14" t="s">
        <v>127</v>
      </c>
      <c r="C6" s="14" t="s">
        <v>136</v>
      </c>
      <c r="D6" s="14" t="s">
        <v>137</v>
      </c>
      <c r="E6" s="14" t="s">
        <v>129</v>
      </c>
      <c r="F6" s="14" t="s">
        <v>138</v>
      </c>
    </row>
    <row r="7" spans="1:6" ht="23.25" customHeight="1" x14ac:dyDescent="0.2">
      <c r="A7" s="9" t="s">
        <v>139</v>
      </c>
      <c r="B7" s="10" t="s">
        <v>122</v>
      </c>
      <c r="C7" s="10" t="s">
        <v>140</v>
      </c>
      <c r="D7" s="10" t="s">
        <v>141</v>
      </c>
      <c r="E7" s="10" t="s">
        <v>142</v>
      </c>
      <c r="F7" s="10" t="s">
        <v>143</v>
      </c>
    </row>
    <row r="8" spans="1:6" ht="15" customHeight="1" x14ac:dyDescent="0.2">
      <c r="A8" s="13" t="s">
        <v>144</v>
      </c>
      <c r="B8" s="14" t="s">
        <v>127</v>
      </c>
      <c r="C8" s="14" t="s">
        <v>145</v>
      </c>
      <c r="D8" s="14" t="s">
        <v>146</v>
      </c>
      <c r="E8" s="14" t="s">
        <v>129</v>
      </c>
      <c r="F8" s="14" t="s">
        <v>147</v>
      </c>
    </row>
    <row r="9" spans="1:6" ht="15" customHeight="1" x14ac:dyDescent="0.2">
      <c r="A9" s="9" t="s">
        <v>148</v>
      </c>
      <c r="B9" s="10" t="s">
        <v>122</v>
      </c>
      <c r="C9" s="10" t="s">
        <v>149</v>
      </c>
      <c r="D9" s="10" t="s">
        <v>133</v>
      </c>
      <c r="E9" s="10" t="s">
        <v>129</v>
      </c>
      <c r="F9" s="10" t="s">
        <v>150</v>
      </c>
    </row>
    <row r="10" spans="1:6" ht="23.25" customHeight="1" x14ac:dyDescent="0.2">
      <c r="A10" s="13" t="s">
        <v>151</v>
      </c>
      <c r="B10" s="14" t="s">
        <v>127</v>
      </c>
      <c r="C10" s="17">
        <v>2840000</v>
      </c>
      <c r="D10" s="14" t="s">
        <v>152</v>
      </c>
      <c r="E10" s="14" t="s">
        <v>153</v>
      </c>
      <c r="F10" s="14" t="s">
        <v>154</v>
      </c>
    </row>
    <row r="11" spans="1:6" ht="23.25" customHeight="1" x14ac:dyDescent="0.2">
      <c r="A11" s="9" t="s">
        <v>155</v>
      </c>
      <c r="B11" s="10" t="s">
        <v>122</v>
      </c>
      <c r="C11" s="18">
        <v>196000</v>
      </c>
      <c r="D11" s="10" t="s">
        <v>156</v>
      </c>
      <c r="E11" s="10" t="s">
        <v>153</v>
      </c>
      <c r="F11" s="10" t="s">
        <v>157</v>
      </c>
    </row>
    <row r="12" spans="1:6" ht="23.25" customHeight="1" x14ac:dyDescent="0.2">
      <c r="A12" s="9" t="s">
        <v>158</v>
      </c>
      <c r="B12" s="10" t="s">
        <v>122</v>
      </c>
      <c r="C12" s="18">
        <v>142000</v>
      </c>
      <c r="D12" s="10" t="s">
        <v>156</v>
      </c>
      <c r="E12" s="10" t="s">
        <v>129</v>
      </c>
      <c r="F12" s="10" t="s">
        <v>159</v>
      </c>
    </row>
    <row r="13" spans="1:6" ht="23.25" customHeight="1" x14ac:dyDescent="0.2">
      <c r="A13" s="9" t="s">
        <v>160</v>
      </c>
      <c r="B13" s="10" t="s">
        <v>127</v>
      </c>
      <c r="C13" s="18">
        <v>6480000</v>
      </c>
      <c r="D13" s="10" t="s">
        <v>161</v>
      </c>
      <c r="E13" s="10" t="s">
        <v>129</v>
      </c>
      <c r="F13" s="10" t="s">
        <v>162</v>
      </c>
    </row>
    <row r="14" spans="1:6" ht="15" customHeight="1" x14ac:dyDescent="0.2">
      <c r="A14" s="9" t="s">
        <v>163</v>
      </c>
      <c r="B14" s="10" t="s">
        <v>122</v>
      </c>
      <c r="C14" s="18">
        <v>1200000</v>
      </c>
      <c r="D14" s="10" t="s">
        <v>164</v>
      </c>
      <c r="E14" s="10" t="s">
        <v>129</v>
      </c>
      <c r="F14" s="10" t="s">
        <v>165</v>
      </c>
    </row>
    <row r="15" spans="1:6" ht="15" customHeight="1" x14ac:dyDescent="0.2">
      <c r="A15" s="13" t="s">
        <v>166</v>
      </c>
      <c r="B15" s="14" t="s">
        <v>127</v>
      </c>
      <c r="C15" s="17">
        <v>250000</v>
      </c>
      <c r="D15" s="14" t="s">
        <v>167</v>
      </c>
      <c r="E15" s="14" t="s">
        <v>168</v>
      </c>
      <c r="F15" s="14" t="s">
        <v>169</v>
      </c>
    </row>
    <row r="16" spans="1:6" ht="23.25" customHeight="1" x14ac:dyDescent="0.2">
      <c r="A16" s="9" t="s">
        <v>170</v>
      </c>
      <c r="B16" s="10" t="s">
        <v>122</v>
      </c>
      <c r="C16" s="18">
        <v>3250000</v>
      </c>
      <c r="D16" s="10" t="s">
        <v>171</v>
      </c>
      <c r="E16" s="10" t="s">
        <v>168</v>
      </c>
      <c r="F16" s="10" t="s">
        <v>172</v>
      </c>
    </row>
    <row r="17" spans="1:6" ht="15" customHeight="1" x14ac:dyDescent="0.2">
      <c r="A17" s="9" t="s">
        <v>173</v>
      </c>
      <c r="B17" s="10" t="s">
        <v>122</v>
      </c>
      <c r="C17" s="18">
        <v>2000000</v>
      </c>
      <c r="D17" s="10" t="s">
        <v>174</v>
      </c>
      <c r="E17" s="10" t="s">
        <v>129</v>
      </c>
      <c r="F17" s="10" t="s">
        <v>175</v>
      </c>
    </row>
    <row r="18" spans="1:6" ht="15" customHeight="1" x14ac:dyDescent="0.2">
      <c r="A18" s="9" t="s">
        <v>176</v>
      </c>
      <c r="B18" s="10" t="s">
        <v>122</v>
      </c>
      <c r="C18" s="19">
        <v>45948</v>
      </c>
      <c r="D18" s="10" t="s">
        <v>128</v>
      </c>
      <c r="E18" s="10" t="s">
        <v>124</v>
      </c>
      <c r="F18" s="10" t="s">
        <v>177</v>
      </c>
    </row>
    <row r="19" spans="1:6" ht="15" customHeight="1" x14ac:dyDescent="0.2">
      <c r="A19" s="9" t="s">
        <v>178</v>
      </c>
      <c r="B19" s="10" t="s">
        <v>122</v>
      </c>
      <c r="C19" s="19">
        <v>46071</v>
      </c>
      <c r="D19" s="10" t="s">
        <v>179</v>
      </c>
      <c r="E19" s="10" t="s">
        <v>180</v>
      </c>
      <c r="F19" s="10" t="s">
        <v>181</v>
      </c>
    </row>
    <row r="20" spans="1:6" ht="15" customHeight="1" x14ac:dyDescent="0.2">
      <c r="A20" s="9" t="s">
        <v>182</v>
      </c>
      <c r="B20" s="10" t="s">
        <v>122</v>
      </c>
      <c r="C20" s="19">
        <v>46086</v>
      </c>
      <c r="D20" s="10" t="s">
        <v>183</v>
      </c>
      <c r="E20" s="10" t="s">
        <v>184</v>
      </c>
      <c r="F20" s="10" t="s">
        <v>185</v>
      </c>
    </row>
    <row r="21" spans="1:6" ht="15" customHeight="1" x14ac:dyDescent="0.2">
      <c r="A21" s="9" t="s">
        <v>186</v>
      </c>
      <c r="B21" s="10" t="s">
        <v>122</v>
      </c>
      <c r="C21" s="19">
        <f>EDATE(C19,6)</f>
        <v>46252</v>
      </c>
      <c r="D21" s="10" t="s">
        <v>179</v>
      </c>
      <c r="E21" s="10" t="s">
        <v>180</v>
      </c>
      <c r="F21" s="10" t="s">
        <v>187</v>
      </c>
    </row>
    <row r="22" spans="1:6" ht="23.25" customHeight="1" x14ac:dyDescent="0.2">
      <c r="A22" s="13" t="s">
        <v>188</v>
      </c>
      <c r="B22" s="14" t="s">
        <v>127</v>
      </c>
      <c r="C22" s="20">
        <v>46678</v>
      </c>
      <c r="D22" s="14" t="s">
        <v>189</v>
      </c>
      <c r="E22" s="14" t="s">
        <v>129</v>
      </c>
      <c r="F22" s="14" t="s">
        <v>190</v>
      </c>
    </row>
    <row r="23" spans="1:6" ht="15" customHeight="1" x14ac:dyDescent="0.2">
      <c r="A23" s="21" t="s">
        <v>191</v>
      </c>
      <c r="B23" s="22" t="s">
        <v>122</v>
      </c>
      <c r="C23" s="22" t="s">
        <v>192</v>
      </c>
      <c r="D23" s="22" t="s">
        <v>133</v>
      </c>
      <c r="E23" s="22" t="s">
        <v>128</v>
      </c>
      <c r="F23" s="22" t="s">
        <v>193</v>
      </c>
    </row>
    <row r="24" spans="1:6" ht="34.5" customHeight="1" x14ac:dyDescent="0.2">
      <c r="A24" s="9" t="s">
        <v>194</v>
      </c>
      <c r="B24" s="10" t="s">
        <v>122</v>
      </c>
      <c r="C24" s="23">
        <v>2.5000000000000001E-2</v>
      </c>
      <c r="D24" s="10" t="s">
        <v>161</v>
      </c>
      <c r="E24" s="10" t="s">
        <v>161</v>
      </c>
      <c r="F24" s="10" t="s">
        <v>195</v>
      </c>
    </row>
    <row r="25" spans="1:6" ht="15" customHeight="1" x14ac:dyDescent="0.2">
      <c r="A25" s="9" t="s">
        <v>196</v>
      </c>
      <c r="B25" s="10" t="s">
        <v>122</v>
      </c>
      <c r="C25" s="18">
        <v>180000</v>
      </c>
      <c r="D25" s="10" t="s">
        <v>161</v>
      </c>
      <c r="E25" s="10" t="s">
        <v>129</v>
      </c>
      <c r="F25" s="10" t="s">
        <v>197</v>
      </c>
    </row>
    <row r="26" spans="1:6" ht="34.5" customHeight="1" x14ac:dyDescent="0.2">
      <c r="A26" s="9" t="s">
        <v>198</v>
      </c>
      <c r="B26" s="10" t="s">
        <v>122</v>
      </c>
      <c r="C26" s="18">
        <f>ROUND(C25*(1-(1+C24)^(-C29))/C24,-3)</f>
        <v>4240000</v>
      </c>
      <c r="D26" s="10" t="s">
        <v>161</v>
      </c>
      <c r="E26" s="10" t="s">
        <v>161</v>
      </c>
      <c r="F26" s="10" t="s">
        <v>199</v>
      </c>
    </row>
    <row r="27" spans="1:6" ht="23.25" customHeight="1" x14ac:dyDescent="0.2">
      <c r="A27" s="13" t="s">
        <v>200</v>
      </c>
      <c r="B27" s="14" t="s">
        <v>127</v>
      </c>
      <c r="C27" s="14" t="s">
        <v>201</v>
      </c>
      <c r="D27" s="14" t="s">
        <v>202</v>
      </c>
      <c r="E27" s="14" t="s">
        <v>129</v>
      </c>
      <c r="F27" s="14" t="s">
        <v>203</v>
      </c>
    </row>
    <row r="28" spans="1:6" ht="23.25" customHeight="1" x14ac:dyDescent="0.2">
      <c r="A28" s="13" t="s">
        <v>204</v>
      </c>
      <c r="B28" s="14" t="s">
        <v>127</v>
      </c>
      <c r="C28" s="14" t="s">
        <v>205</v>
      </c>
      <c r="D28" s="14" t="s">
        <v>206</v>
      </c>
      <c r="E28" s="14" t="s">
        <v>129</v>
      </c>
      <c r="F28" s="14" t="s">
        <v>207</v>
      </c>
    </row>
    <row r="29" spans="1:6" ht="34.5" customHeight="1" x14ac:dyDescent="0.2">
      <c r="A29" s="9" t="s">
        <v>208</v>
      </c>
      <c r="B29" s="10" t="s">
        <v>122</v>
      </c>
      <c r="C29" s="16">
        <v>36</v>
      </c>
      <c r="D29" s="10" t="s">
        <v>161</v>
      </c>
      <c r="E29" s="10" t="s">
        <v>161</v>
      </c>
      <c r="F29" s="10" t="s">
        <v>209</v>
      </c>
    </row>
    <row r="30" spans="1:6" ht="34.5" customHeight="1" x14ac:dyDescent="0.2">
      <c r="A30" s="9" t="s">
        <v>210</v>
      </c>
      <c r="B30" s="10" t="s">
        <v>122</v>
      </c>
      <c r="C30" s="19">
        <f>WORKDAY(EDATE(C18,6)-1,1)</f>
        <v>46132</v>
      </c>
      <c r="D30" s="10" t="s">
        <v>128</v>
      </c>
      <c r="E30" s="10" t="s">
        <v>184</v>
      </c>
      <c r="F30" s="10" t="s">
        <v>211</v>
      </c>
    </row>
    <row r="31" spans="1:6" ht="34.5" customHeight="1" x14ac:dyDescent="0.2">
      <c r="A31" s="9" t="s">
        <v>212</v>
      </c>
      <c r="B31" s="10" t="s">
        <v>122</v>
      </c>
      <c r="C31" s="16">
        <f>C30-C20</f>
        <v>46</v>
      </c>
      <c r="D31" s="10" t="s">
        <v>129</v>
      </c>
      <c r="E31" s="10" t="s">
        <v>129</v>
      </c>
      <c r="F31" s="10" t="s">
        <v>213</v>
      </c>
    </row>
    <row r="32" spans="1:6" ht="97.5" customHeight="1" x14ac:dyDescent="0.2">
      <c r="A32" s="13" t="s">
        <v>214</v>
      </c>
      <c r="B32" s="14" t="s">
        <v>127</v>
      </c>
      <c r="C32" s="24" t="s">
        <v>215</v>
      </c>
      <c r="D32" s="14" t="s">
        <v>167</v>
      </c>
      <c r="E32" s="14" t="s">
        <v>216</v>
      </c>
      <c r="F32" s="14" t="s">
        <v>217</v>
      </c>
    </row>
    <row r="33" spans="1:6" ht="111.75" customHeight="1" x14ac:dyDescent="0.2">
      <c r="A33" s="13" t="s">
        <v>218</v>
      </c>
      <c r="B33" s="14" t="s">
        <v>122</v>
      </c>
      <c r="C33" s="24" t="s">
        <v>219</v>
      </c>
      <c r="D33" s="14" t="s">
        <v>220</v>
      </c>
      <c r="E33" s="14" t="s">
        <v>123</v>
      </c>
      <c r="F33" s="14" t="s">
        <v>221</v>
      </c>
    </row>
    <row r="34" spans="1:6" ht="55.5" customHeight="1" x14ac:dyDescent="0.2">
      <c r="A34" s="13" t="s">
        <v>222</v>
      </c>
      <c r="B34" s="14" t="s">
        <v>127</v>
      </c>
      <c r="C34" s="24" t="s">
        <v>223</v>
      </c>
      <c r="D34" s="14" t="s">
        <v>224</v>
      </c>
      <c r="E34" s="14" t="s">
        <v>184</v>
      </c>
      <c r="F34" s="14" t="s">
        <v>225</v>
      </c>
    </row>
    <row r="35" spans="1:6" ht="42" customHeight="1" x14ac:dyDescent="0.2">
      <c r="A35" s="13" t="s">
        <v>226</v>
      </c>
      <c r="B35" s="14" t="s">
        <v>127</v>
      </c>
      <c r="C35" s="24" t="s">
        <v>227</v>
      </c>
      <c r="D35" s="14" t="s">
        <v>228</v>
      </c>
      <c r="E35" s="14" t="s">
        <v>184</v>
      </c>
      <c r="F35" s="14" t="s">
        <v>229</v>
      </c>
    </row>
    <row r="36" spans="1:6" ht="42" customHeight="1" x14ac:dyDescent="0.2">
      <c r="A36" s="13" t="s">
        <v>230</v>
      </c>
      <c r="B36" s="14" t="s">
        <v>127</v>
      </c>
      <c r="C36" s="24" t="s">
        <v>231</v>
      </c>
      <c r="D36" s="14" t="s">
        <v>232</v>
      </c>
      <c r="E36" s="14" t="s">
        <v>184</v>
      </c>
      <c r="F36" s="14" t="s">
        <v>233</v>
      </c>
    </row>
    <row r="37" spans="1:6" ht="42" customHeight="1" x14ac:dyDescent="0.2">
      <c r="A37" s="13" t="s">
        <v>234</v>
      </c>
      <c r="B37" s="14" t="s">
        <v>127</v>
      </c>
      <c r="C37" s="24" t="s">
        <v>235</v>
      </c>
      <c r="D37" s="14" t="s">
        <v>183</v>
      </c>
      <c r="E37" s="14" t="s">
        <v>184</v>
      </c>
      <c r="F37" s="14" t="s">
        <v>236</v>
      </c>
    </row>
    <row r="38" spans="1:6" ht="55.5" customHeight="1" x14ac:dyDescent="0.2">
      <c r="A38" s="13" t="s">
        <v>237</v>
      </c>
      <c r="B38" s="14" t="s">
        <v>127</v>
      </c>
      <c r="C38" s="24" t="s">
        <v>238</v>
      </c>
      <c r="D38" s="14" t="s">
        <v>239</v>
      </c>
      <c r="E38" s="14" t="s">
        <v>184</v>
      </c>
      <c r="F38" s="14" t="s">
        <v>240</v>
      </c>
    </row>
    <row r="39" spans="1:6" ht="42" customHeight="1" x14ac:dyDescent="0.2">
      <c r="A39" s="13" t="s">
        <v>241</v>
      </c>
      <c r="B39" s="14" t="s">
        <v>127</v>
      </c>
      <c r="C39" s="24" t="s">
        <v>242</v>
      </c>
      <c r="D39" s="14" t="s">
        <v>243</v>
      </c>
      <c r="E39" s="14" t="s">
        <v>184</v>
      </c>
      <c r="F39" s="14" t="s">
        <v>244</v>
      </c>
    </row>
    <row r="40" spans="1:6" ht="55.5" customHeight="1" x14ac:dyDescent="0.2">
      <c r="A40" s="13" t="s">
        <v>245</v>
      </c>
      <c r="B40" s="14" t="s">
        <v>127</v>
      </c>
      <c r="C40" s="24" t="s">
        <v>246</v>
      </c>
      <c r="D40" s="14" t="s">
        <v>171</v>
      </c>
      <c r="E40" s="14" t="s">
        <v>168</v>
      </c>
      <c r="F40" s="14" t="s">
        <v>247</v>
      </c>
    </row>
  </sheetData>
  <mergeCells count="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zoomScaleNormal="100" workbookViewId="0">
      <pane ySplit="2" topLeftCell="A3" activePane="bottomLeft" state="frozen"/>
      <selection pane="bottomLeft"/>
    </sheetView>
  </sheetViews>
  <sheetFormatPr baseColWidth="10" defaultColWidth="8.6640625" defaultRowHeight="15" x14ac:dyDescent="0.2"/>
  <cols>
    <col min="1" max="1" width="8" customWidth="1"/>
    <col min="2" max="2" width="26" customWidth="1"/>
    <col min="3" max="3" width="24" customWidth="1"/>
    <col min="4" max="4" width="22" customWidth="1"/>
    <col min="5" max="5" width="52" customWidth="1"/>
    <col min="6" max="6" width="24" customWidth="1"/>
    <col min="7" max="8" width="34" customWidth="1"/>
    <col min="9" max="9" width="40" customWidth="1"/>
  </cols>
  <sheetData>
    <row r="1" spans="1:9" ht="15" customHeight="1" x14ac:dyDescent="0.2">
      <c r="A1" s="11" t="s">
        <v>248</v>
      </c>
      <c r="B1" s="11" t="s">
        <v>249</v>
      </c>
      <c r="C1" s="11" t="s">
        <v>250</v>
      </c>
      <c r="D1" s="11" t="s">
        <v>251</v>
      </c>
      <c r="E1" s="11" t="s">
        <v>252</v>
      </c>
      <c r="F1" s="11" t="s">
        <v>253</v>
      </c>
      <c r="G1" s="11" t="s">
        <v>254</v>
      </c>
      <c r="H1" s="11" t="s">
        <v>255</v>
      </c>
      <c r="I1" s="11" t="s">
        <v>256</v>
      </c>
    </row>
    <row r="2" spans="1:9" ht="15" customHeight="1" x14ac:dyDescent="0.2">
      <c r="A2" s="1" t="s">
        <v>257</v>
      </c>
      <c r="B2" s="1"/>
      <c r="C2" s="1"/>
      <c r="D2" s="1"/>
      <c r="E2" s="1"/>
      <c r="F2" s="1"/>
      <c r="G2" s="1"/>
      <c r="H2" s="1"/>
      <c r="I2" s="1"/>
    </row>
    <row r="3" spans="1:9" ht="34.5" customHeight="1" x14ac:dyDescent="0.2">
      <c r="A3" s="9" t="s">
        <v>258</v>
      </c>
      <c r="B3" s="10" t="s">
        <v>259</v>
      </c>
      <c r="C3" s="10" t="s">
        <v>260</v>
      </c>
      <c r="D3" s="10" t="s">
        <v>261</v>
      </c>
      <c r="E3" s="10" t="s">
        <v>262</v>
      </c>
      <c r="F3" s="10" t="s">
        <v>263</v>
      </c>
      <c r="G3" s="10" t="s">
        <v>264</v>
      </c>
      <c r="H3" s="10" t="s">
        <v>265</v>
      </c>
      <c r="I3" s="10" t="s">
        <v>266</v>
      </c>
    </row>
    <row r="4" spans="1:9" ht="45.75" customHeight="1" x14ac:dyDescent="0.2">
      <c r="A4" s="9" t="s">
        <v>267</v>
      </c>
      <c r="B4" s="10" t="s">
        <v>268</v>
      </c>
      <c r="C4" s="10" t="s">
        <v>260</v>
      </c>
      <c r="D4" s="10" t="s">
        <v>269</v>
      </c>
      <c r="E4" s="10" t="s">
        <v>270</v>
      </c>
      <c r="F4" s="10" t="s">
        <v>271</v>
      </c>
      <c r="G4" s="10" t="s">
        <v>272</v>
      </c>
      <c r="H4" s="10" t="s">
        <v>273</v>
      </c>
      <c r="I4" s="10" t="s">
        <v>274</v>
      </c>
    </row>
    <row r="5" spans="1:9" ht="68.25" customHeight="1" x14ac:dyDescent="0.2">
      <c r="A5" s="9" t="s">
        <v>275</v>
      </c>
      <c r="B5" s="10" t="s">
        <v>276</v>
      </c>
      <c r="C5" s="10" t="s">
        <v>260</v>
      </c>
      <c r="D5" s="10" t="s">
        <v>277</v>
      </c>
      <c r="E5" s="10" t="s">
        <v>278</v>
      </c>
      <c r="F5" s="10" t="s">
        <v>279</v>
      </c>
      <c r="G5" s="10" t="s">
        <v>280</v>
      </c>
      <c r="H5" s="10" t="s">
        <v>281</v>
      </c>
      <c r="I5" s="10" t="s">
        <v>282</v>
      </c>
    </row>
    <row r="6" spans="1:9" ht="79.5" customHeight="1" x14ac:dyDescent="0.2">
      <c r="A6" s="9" t="s">
        <v>283</v>
      </c>
      <c r="B6" s="10" t="s">
        <v>284</v>
      </c>
      <c r="C6" s="10" t="s">
        <v>285</v>
      </c>
      <c r="D6" s="10" t="s">
        <v>286</v>
      </c>
      <c r="E6" s="10" t="s">
        <v>287</v>
      </c>
      <c r="F6" s="10" t="s">
        <v>288</v>
      </c>
      <c r="G6" s="10" t="s">
        <v>289</v>
      </c>
      <c r="H6" s="10" t="s">
        <v>290</v>
      </c>
      <c r="I6" s="10" t="s">
        <v>291</v>
      </c>
    </row>
    <row r="7" spans="1:9" ht="45.75" customHeight="1" x14ac:dyDescent="0.2">
      <c r="A7" s="9" t="s">
        <v>292</v>
      </c>
      <c r="B7" s="10" t="s">
        <v>293</v>
      </c>
      <c r="C7" s="10" t="s">
        <v>294</v>
      </c>
      <c r="D7" s="10" t="s">
        <v>295</v>
      </c>
      <c r="E7" s="10" t="s">
        <v>296</v>
      </c>
      <c r="F7" s="10" t="s">
        <v>297</v>
      </c>
      <c r="G7" s="10" t="s">
        <v>298</v>
      </c>
      <c r="H7" s="10" t="s">
        <v>299</v>
      </c>
      <c r="I7" s="10" t="s">
        <v>300</v>
      </c>
    </row>
    <row r="8" spans="1:9" ht="57" customHeight="1" x14ac:dyDescent="0.2">
      <c r="A8" s="9" t="s">
        <v>301</v>
      </c>
      <c r="B8" s="10" t="s">
        <v>302</v>
      </c>
      <c r="C8" s="10" t="s">
        <v>294</v>
      </c>
      <c r="D8" s="10" t="s">
        <v>303</v>
      </c>
      <c r="E8" s="10" t="s">
        <v>304</v>
      </c>
      <c r="F8" s="10" t="s">
        <v>305</v>
      </c>
      <c r="G8" s="10" t="s">
        <v>306</v>
      </c>
      <c r="H8" s="10" t="s">
        <v>307</v>
      </c>
      <c r="I8" s="10" t="s">
        <v>308</v>
      </c>
    </row>
    <row r="9" spans="1:9" ht="90" customHeight="1" x14ac:dyDescent="0.2">
      <c r="A9" s="9" t="s">
        <v>309</v>
      </c>
      <c r="B9" s="10" t="s">
        <v>310</v>
      </c>
      <c r="C9" s="10" t="s">
        <v>311</v>
      </c>
      <c r="D9" s="10" t="s">
        <v>312</v>
      </c>
      <c r="E9" s="10" t="s">
        <v>313</v>
      </c>
      <c r="F9" s="10" t="s">
        <v>314</v>
      </c>
      <c r="G9" s="10" t="s">
        <v>315</v>
      </c>
      <c r="H9" s="10" t="s">
        <v>316</v>
      </c>
      <c r="I9" s="10" t="s">
        <v>317</v>
      </c>
    </row>
    <row r="10" spans="1:9" ht="45.75" customHeight="1" x14ac:dyDescent="0.2">
      <c r="A10" s="9" t="s">
        <v>318</v>
      </c>
      <c r="B10" s="10" t="s">
        <v>319</v>
      </c>
      <c r="C10" s="10" t="s">
        <v>311</v>
      </c>
      <c r="D10" s="10" t="s">
        <v>320</v>
      </c>
      <c r="E10" s="10" t="s">
        <v>321</v>
      </c>
      <c r="F10" s="10" t="s">
        <v>322</v>
      </c>
      <c r="G10" s="10" t="s">
        <v>323</v>
      </c>
      <c r="H10" s="10" t="s">
        <v>324</v>
      </c>
      <c r="I10" s="10" t="s">
        <v>325</v>
      </c>
    </row>
    <row r="11" spans="1:9" ht="129.75" customHeight="1" x14ac:dyDescent="0.2">
      <c r="A11" s="9" t="s">
        <v>326</v>
      </c>
      <c r="B11" s="10" t="s">
        <v>327</v>
      </c>
      <c r="C11" s="10" t="s">
        <v>311</v>
      </c>
      <c r="D11" s="10" t="s">
        <v>328</v>
      </c>
      <c r="E11" s="10" t="s">
        <v>329</v>
      </c>
      <c r="F11" s="10" t="s">
        <v>330</v>
      </c>
      <c r="G11" s="10" t="s">
        <v>331</v>
      </c>
      <c r="H11" s="10" t="s">
        <v>332</v>
      </c>
      <c r="I11" s="10" t="s">
        <v>333</v>
      </c>
    </row>
    <row r="12" spans="1:9" ht="45.75" customHeight="1" x14ac:dyDescent="0.2">
      <c r="A12" s="9" t="s">
        <v>334</v>
      </c>
      <c r="B12" s="10" t="s">
        <v>335</v>
      </c>
      <c r="C12" s="10" t="s">
        <v>336</v>
      </c>
      <c r="D12" s="10" t="s">
        <v>337</v>
      </c>
      <c r="E12" s="10" t="s">
        <v>338</v>
      </c>
      <c r="F12" s="10" t="s">
        <v>339</v>
      </c>
      <c r="G12" s="10" t="s">
        <v>340</v>
      </c>
      <c r="H12" s="10" t="s">
        <v>341</v>
      </c>
      <c r="I12" s="10" t="s">
        <v>342</v>
      </c>
    </row>
  </sheetData>
  <mergeCells count="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4"/>
  <sheetViews>
    <sheetView zoomScaleNormal="100" workbookViewId="0">
      <pane ySplit="2" topLeftCell="A3" activePane="bottomLeft" state="frozen"/>
      <selection pane="bottomLeft"/>
    </sheetView>
  </sheetViews>
  <sheetFormatPr baseColWidth="10" defaultColWidth="8.6640625" defaultRowHeight="15" x14ac:dyDescent="0.2"/>
  <cols>
    <col min="1" max="1" width="6" customWidth="1"/>
    <col min="2" max="2" width="9" customWidth="1"/>
    <col min="3" max="3" width="30" customWidth="1"/>
    <col min="4" max="4" width="8" customWidth="1"/>
    <col min="5" max="5" width="30" customWidth="1"/>
    <col min="6" max="6" width="8" customWidth="1"/>
    <col min="7" max="7" width="22" customWidth="1"/>
    <col min="8" max="8" width="50" customWidth="1"/>
    <col min="9" max="9" width="16" customWidth="1"/>
    <col min="10" max="10" width="30" customWidth="1"/>
    <col min="11" max="11" width="14" customWidth="1"/>
    <col min="12" max="12" width="26" customWidth="1"/>
    <col min="13" max="13" width="18" customWidth="1"/>
    <col min="14" max="14" width="34" customWidth="1"/>
  </cols>
  <sheetData>
    <row r="1" spans="1:14" ht="15" customHeight="1" x14ac:dyDescent="0.2">
      <c r="A1" s="11" t="s">
        <v>24</v>
      </c>
      <c r="B1" s="11" t="s">
        <v>115</v>
      </c>
      <c r="C1" s="11" t="s">
        <v>25</v>
      </c>
      <c r="D1" s="11" t="s">
        <v>343</v>
      </c>
      <c r="E1" s="11" t="s">
        <v>344</v>
      </c>
      <c r="F1" s="11" t="s">
        <v>345</v>
      </c>
      <c r="G1" s="11" t="s">
        <v>346</v>
      </c>
      <c r="H1" s="11" t="s">
        <v>347</v>
      </c>
      <c r="I1" s="11" t="s">
        <v>348</v>
      </c>
      <c r="J1" s="11" t="s">
        <v>349</v>
      </c>
      <c r="K1" s="11" t="s">
        <v>350</v>
      </c>
      <c r="L1" s="11" t="s">
        <v>351</v>
      </c>
      <c r="M1" s="11" t="s">
        <v>352</v>
      </c>
      <c r="N1" s="11" t="s">
        <v>353</v>
      </c>
    </row>
    <row r="2" spans="1:14" ht="23.25" customHeight="1" x14ac:dyDescent="0.2">
      <c r="A2" s="1" t="s">
        <v>354</v>
      </c>
      <c r="B2" s="1"/>
      <c r="C2" s="1"/>
      <c r="D2" s="1"/>
      <c r="E2" s="1"/>
      <c r="F2" s="1"/>
      <c r="G2" s="1"/>
      <c r="H2" s="1"/>
      <c r="I2" s="1"/>
      <c r="J2" s="1"/>
      <c r="K2" s="1"/>
      <c r="L2" s="1"/>
    </row>
    <row r="3" spans="1:14" ht="45.75" customHeight="1" x14ac:dyDescent="0.2">
      <c r="A3" s="9" t="s">
        <v>128</v>
      </c>
      <c r="B3" s="10" t="s">
        <v>355</v>
      </c>
      <c r="C3" s="10" t="s">
        <v>356</v>
      </c>
      <c r="D3" s="10" t="s">
        <v>357</v>
      </c>
      <c r="E3" s="10" t="s">
        <v>358</v>
      </c>
      <c r="F3" s="10" t="s">
        <v>359</v>
      </c>
      <c r="G3" s="10" t="s">
        <v>360</v>
      </c>
      <c r="H3" s="10" t="s">
        <v>361</v>
      </c>
      <c r="I3" s="10" t="s">
        <v>362</v>
      </c>
      <c r="J3" s="14" t="s">
        <v>363</v>
      </c>
      <c r="K3" s="10" t="s">
        <v>364</v>
      </c>
      <c r="L3" s="10" t="s">
        <v>365</v>
      </c>
      <c r="M3" s="14" t="s">
        <v>366</v>
      </c>
      <c r="N3" s="14" t="s">
        <v>126</v>
      </c>
    </row>
    <row r="4" spans="1:14" ht="113.25" customHeight="1" x14ac:dyDescent="0.2">
      <c r="A4" s="9" t="s">
        <v>133</v>
      </c>
      <c r="B4" s="10" t="s">
        <v>355</v>
      </c>
      <c r="C4" s="10" t="s">
        <v>367</v>
      </c>
      <c r="D4" s="10" t="s">
        <v>368</v>
      </c>
      <c r="E4" s="10" t="s">
        <v>369</v>
      </c>
      <c r="F4" s="10" t="s">
        <v>359</v>
      </c>
      <c r="G4" s="10" t="s">
        <v>370</v>
      </c>
      <c r="H4" s="10" t="s">
        <v>371</v>
      </c>
      <c r="I4" s="10" t="s">
        <v>372</v>
      </c>
      <c r="J4" s="10" t="s">
        <v>373</v>
      </c>
      <c r="K4" s="10" t="s">
        <v>374</v>
      </c>
      <c r="L4" s="10" t="s">
        <v>375</v>
      </c>
      <c r="M4" s="10" t="s">
        <v>376</v>
      </c>
      <c r="N4" s="10" t="s">
        <v>129</v>
      </c>
    </row>
    <row r="5" spans="1:14" ht="34.5" customHeight="1" x14ac:dyDescent="0.2">
      <c r="A5" s="9" t="s">
        <v>202</v>
      </c>
      <c r="B5" s="10" t="s">
        <v>355</v>
      </c>
      <c r="C5" s="10" t="s">
        <v>377</v>
      </c>
      <c r="D5" s="10" t="s">
        <v>368</v>
      </c>
      <c r="E5" s="10" t="s">
        <v>378</v>
      </c>
      <c r="F5" s="10" t="s">
        <v>359</v>
      </c>
      <c r="G5" s="10" t="s">
        <v>379</v>
      </c>
      <c r="H5" s="10" t="s">
        <v>380</v>
      </c>
      <c r="I5" s="10" t="s">
        <v>133</v>
      </c>
      <c r="J5" s="14" t="s">
        <v>381</v>
      </c>
      <c r="K5" s="10" t="s">
        <v>292</v>
      </c>
      <c r="L5" s="10" t="s">
        <v>382</v>
      </c>
      <c r="M5" s="14" t="s">
        <v>366</v>
      </c>
      <c r="N5" s="14" t="s">
        <v>200</v>
      </c>
    </row>
    <row r="6" spans="1:14" ht="34.5" customHeight="1" x14ac:dyDescent="0.2">
      <c r="A6" s="9" t="s">
        <v>123</v>
      </c>
      <c r="B6" s="10" t="s">
        <v>355</v>
      </c>
      <c r="C6" s="10" t="s">
        <v>383</v>
      </c>
      <c r="D6" s="10" t="s">
        <v>357</v>
      </c>
      <c r="E6" s="10" t="s">
        <v>384</v>
      </c>
      <c r="F6" s="10" t="s">
        <v>359</v>
      </c>
      <c r="G6" s="10" t="s">
        <v>385</v>
      </c>
      <c r="H6" s="10" t="s">
        <v>386</v>
      </c>
      <c r="I6" s="10" t="s">
        <v>387</v>
      </c>
      <c r="J6" s="10" t="s">
        <v>388</v>
      </c>
      <c r="K6" s="10" t="s">
        <v>389</v>
      </c>
      <c r="L6" s="10" t="s">
        <v>390</v>
      </c>
      <c r="M6" s="10" t="s">
        <v>376</v>
      </c>
      <c r="N6" s="10" t="s">
        <v>129</v>
      </c>
    </row>
    <row r="7" spans="1:14" ht="90.75" customHeight="1" x14ac:dyDescent="0.2">
      <c r="A7" s="9" t="s">
        <v>391</v>
      </c>
      <c r="B7" s="10" t="s">
        <v>355</v>
      </c>
      <c r="C7" s="10" t="s">
        <v>392</v>
      </c>
      <c r="D7" s="10" t="s">
        <v>357</v>
      </c>
      <c r="E7" s="10" t="s">
        <v>393</v>
      </c>
      <c r="F7" s="10" t="s">
        <v>359</v>
      </c>
      <c r="G7" s="10" t="s">
        <v>394</v>
      </c>
      <c r="H7" s="10" t="s">
        <v>395</v>
      </c>
      <c r="I7" s="10" t="s">
        <v>396</v>
      </c>
      <c r="J7" s="10" t="s">
        <v>397</v>
      </c>
      <c r="K7" s="10" t="s">
        <v>398</v>
      </c>
      <c r="L7" s="10" t="s">
        <v>399</v>
      </c>
      <c r="M7" s="10" t="s">
        <v>376</v>
      </c>
      <c r="N7" s="10" t="s">
        <v>129</v>
      </c>
    </row>
    <row r="8" spans="1:14" ht="57" customHeight="1" x14ac:dyDescent="0.2">
      <c r="A8" s="9" t="s">
        <v>400</v>
      </c>
      <c r="B8" s="10" t="s">
        <v>355</v>
      </c>
      <c r="C8" s="10" t="s">
        <v>401</v>
      </c>
      <c r="D8" s="10" t="s">
        <v>357</v>
      </c>
      <c r="E8" s="10" t="s">
        <v>402</v>
      </c>
      <c r="F8" s="10" t="s">
        <v>359</v>
      </c>
      <c r="G8" s="10" t="s">
        <v>403</v>
      </c>
      <c r="H8" s="10" t="s">
        <v>404</v>
      </c>
      <c r="I8" s="10" t="s">
        <v>405</v>
      </c>
      <c r="J8" s="10" t="s">
        <v>397</v>
      </c>
      <c r="K8" s="10" t="s">
        <v>334</v>
      </c>
      <c r="L8" s="10" t="s">
        <v>406</v>
      </c>
      <c r="M8" s="10" t="s">
        <v>376</v>
      </c>
      <c r="N8" s="10" t="s">
        <v>129</v>
      </c>
    </row>
    <row r="9" spans="1:14" ht="68.25" customHeight="1" x14ac:dyDescent="0.2">
      <c r="A9" s="9" t="s">
        <v>407</v>
      </c>
      <c r="B9" s="10" t="s">
        <v>355</v>
      </c>
      <c r="C9" s="10" t="s">
        <v>408</v>
      </c>
      <c r="D9" s="10" t="s">
        <v>357</v>
      </c>
      <c r="E9" s="10" t="s">
        <v>409</v>
      </c>
      <c r="F9" s="10" t="s">
        <v>359</v>
      </c>
      <c r="G9" s="10" t="s">
        <v>410</v>
      </c>
      <c r="H9" s="10" t="s">
        <v>411</v>
      </c>
      <c r="I9" s="10" t="s">
        <v>412</v>
      </c>
      <c r="J9" s="10" t="s">
        <v>397</v>
      </c>
      <c r="K9" s="10" t="s">
        <v>334</v>
      </c>
      <c r="L9" s="10" t="s">
        <v>413</v>
      </c>
      <c r="M9" s="10" t="s">
        <v>376</v>
      </c>
      <c r="N9" s="10" t="s">
        <v>129</v>
      </c>
    </row>
    <row r="10" spans="1:14" ht="45.75" customHeight="1" x14ac:dyDescent="0.2">
      <c r="A10" s="9" t="s">
        <v>141</v>
      </c>
      <c r="B10" s="10" t="s">
        <v>355</v>
      </c>
      <c r="C10" s="10" t="s">
        <v>414</v>
      </c>
      <c r="D10" s="10" t="s">
        <v>415</v>
      </c>
      <c r="E10" s="10" t="s">
        <v>416</v>
      </c>
      <c r="F10" s="10" t="s">
        <v>359</v>
      </c>
      <c r="G10" s="10" t="s">
        <v>417</v>
      </c>
      <c r="H10" s="10" t="s">
        <v>418</v>
      </c>
      <c r="I10" s="10" t="s">
        <v>419</v>
      </c>
      <c r="J10" s="10" t="s">
        <v>420</v>
      </c>
      <c r="K10" s="10" t="s">
        <v>421</v>
      </c>
      <c r="L10" s="10" t="s">
        <v>422</v>
      </c>
      <c r="M10" s="10" t="s">
        <v>376</v>
      </c>
      <c r="N10" s="10" t="s">
        <v>129</v>
      </c>
    </row>
    <row r="11" spans="1:14" ht="45.75" customHeight="1" x14ac:dyDescent="0.2">
      <c r="A11" s="9" t="s">
        <v>423</v>
      </c>
      <c r="B11" s="10" t="s">
        <v>355</v>
      </c>
      <c r="C11" s="10" t="s">
        <v>424</v>
      </c>
      <c r="D11" s="10" t="s">
        <v>425</v>
      </c>
      <c r="E11" s="10" t="s">
        <v>426</v>
      </c>
      <c r="F11" s="10" t="s">
        <v>359</v>
      </c>
      <c r="G11" s="10" t="s">
        <v>379</v>
      </c>
      <c r="H11" s="10" t="s">
        <v>427</v>
      </c>
      <c r="I11" s="10" t="s">
        <v>428</v>
      </c>
      <c r="J11" s="14" t="s">
        <v>429</v>
      </c>
      <c r="K11" s="10" t="s">
        <v>430</v>
      </c>
      <c r="L11" s="10" t="s">
        <v>382</v>
      </c>
      <c r="M11" s="14" t="s">
        <v>366</v>
      </c>
      <c r="N11" s="14" t="s">
        <v>144</v>
      </c>
    </row>
    <row r="12" spans="1:14" ht="34.5" customHeight="1" x14ac:dyDescent="0.2">
      <c r="A12" s="9" t="s">
        <v>137</v>
      </c>
      <c r="B12" s="10" t="s">
        <v>355</v>
      </c>
      <c r="C12" s="10" t="s">
        <v>431</v>
      </c>
      <c r="D12" s="10" t="s">
        <v>432</v>
      </c>
      <c r="E12" s="10" t="s">
        <v>433</v>
      </c>
      <c r="F12" s="10" t="s">
        <v>434</v>
      </c>
      <c r="G12" s="10" t="s">
        <v>435</v>
      </c>
      <c r="H12" s="10" t="s">
        <v>436</v>
      </c>
      <c r="I12" s="10" t="s">
        <v>132</v>
      </c>
      <c r="J12" s="14" t="s">
        <v>437</v>
      </c>
      <c r="K12" s="10" t="s">
        <v>267</v>
      </c>
      <c r="L12" s="10" t="s">
        <v>382</v>
      </c>
      <c r="M12" s="14" t="s">
        <v>366</v>
      </c>
      <c r="N12" s="14" t="s">
        <v>135</v>
      </c>
    </row>
    <row r="13" spans="1:14" ht="45.75" customHeight="1" x14ac:dyDescent="0.2">
      <c r="A13" s="9" t="s">
        <v>132</v>
      </c>
      <c r="B13" s="10" t="s">
        <v>438</v>
      </c>
      <c r="C13" s="10" t="s">
        <v>439</v>
      </c>
      <c r="D13" s="10" t="s">
        <v>440</v>
      </c>
      <c r="E13" s="10" t="s">
        <v>441</v>
      </c>
      <c r="F13" s="10" t="s">
        <v>359</v>
      </c>
      <c r="G13" s="10" t="s">
        <v>442</v>
      </c>
      <c r="H13" s="10" t="s">
        <v>443</v>
      </c>
      <c r="I13" s="10" t="s">
        <v>444</v>
      </c>
      <c r="J13" s="10" t="s">
        <v>445</v>
      </c>
      <c r="K13" s="10" t="s">
        <v>446</v>
      </c>
      <c r="L13" s="10" t="s">
        <v>382</v>
      </c>
      <c r="M13" s="10" t="s">
        <v>376</v>
      </c>
      <c r="N13" s="10" t="s">
        <v>129</v>
      </c>
    </row>
    <row r="14" spans="1:14" ht="45.75" customHeight="1" x14ac:dyDescent="0.2">
      <c r="A14" s="9" t="s">
        <v>447</v>
      </c>
      <c r="B14" s="10" t="s">
        <v>438</v>
      </c>
      <c r="C14" s="10" t="s">
        <v>448</v>
      </c>
      <c r="D14" s="10" t="s">
        <v>440</v>
      </c>
      <c r="E14" s="10" t="s">
        <v>449</v>
      </c>
      <c r="F14" s="10" t="s">
        <v>359</v>
      </c>
      <c r="G14" s="10" t="s">
        <v>450</v>
      </c>
      <c r="H14" s="10" t="s">
        <v>451</v>
      </c>
      <c r="I14" s="10" t="s">
        <v>452</v>
      </c>
      <c r="J14" s="10" t="s">
        <v>453</v>
      </c>
      <c r="K14" s="10" t="s">
        <v>374</v>
      </c>
      <c r="L14" s="10" t="s">
        <v>382</v>
      </c>
      <c r="M14" s="10" t="s">
        <v>376</v>
      </c>
      <c r="N14" s="10" t="s">
        <v>129</v>
      </c>
    </row>
    <row r="15" spans="1:14" ht="68.25" customHeight="1" x14ac:dyDescent="0.2">
      <c r="A15" s="9" t="s">
        <v>454</v>
      </c>
      <c r="B15" s="10" t="s">
        <v>438</v>
      </c>
      <c r="C15" s="10" t="s">
        <v>455</v>
      </c>
      <c r="D15" s="10" t="s">
        <v>440</v>
      </c>
      <c r="E15" s="10" t="s">
        <v>456</v>
      </c>
      <c r="F15" s="10" t="s">
        <v>359</v>
      </c>
      <c r="G15" s="10" t="s">
        <v>457</v>
      </c>
      <c r="H15" s="10" t="s">
        <v>458</v>
      </c>
      <c r="I15" s="10" t="s">
        <v>459</v>
      </c>
      <c r="J15" s="10" t="s">
        <v>397</v>
      </c>
      <c r="K15" s="10" t="s">
        <v>460</v>
      </c>
      <c r="L15" s="10" t="s">
        <v>382</v>
      </c>
      <c r="M15" s="10" t="s">
        <v>376</v>
      </c>
      <c r="N15" s="10" t="s">
        <v>129</v>
      </c>
    </row>
    <row r="16" spans="1:14" ht="68.25" customHeight="1" x14ac:dyDescent="0.2">
      <c r="A16" s="9" t="s">
        <v>180</v>
      </c>
      <c r="B16" s="10" t="s">
        <v>438</v>
      </c>
      <c r="C16" s="10" t="s">
        <v>461</v>
      </c>
      <c r="D16" s="10" t="s">
        <v>440</v>
      </c>
      <c r="E16" s="10" t="s">
        <v>462</v>
      </c>
      <c r="F16" s="10" t="s">
        <v>359</v>
      </c>
      <c r="G16" s="10" t="s">
        <v>463</v>
      </c>
      <c r="H16" s="10" t="s">
        <v>464</v>
      </c>
      <c r="I16" s="10" t="s">
        <v>465</v>
      </c>
      <c r="J16" s="14" t="s">
        <v>397</v>
      </c>
      <c r="K16" s="10" t="s">
        <v>318</v>
      </c>
      <c r="L16" s="10" t="s">
        <v>382</v>
      </c>
      <c r="M16" s="14" t="s">
        <v>376</v>
      </c>
      <c r="N16" s="14" t="s">
        <v>129</v>
      </c>
    </row>
    <row r="17" spans="1:14" ht="45.75" customHeight="1" x14ac:dyDescent="0.2">
      <c r="A17" s="9" t="s">
        <v>153</v>
      </c>
      <c r="B17" s="10" t="s">
        <v>438</v>
      </c>
      <c r="C17" s="10" t="s">
        <v>466</v>
      </c>
      <c r="D17" s="10" t="s">
        <v>440</v>
      </c>
      <c r="E17" s="10" t="s">
        <v>467</v>
      </c>
      <c r="F17" s="10" t="s">
        <v>359</v>
      </c>
      <c r="G17" s="10" t="s">
        <v>468</v>
      </c>
      <c r="H17" s="10" t="s">
        <v>469</v>
      </c>
      <c r="I17" s="10" t="s">
        <v>470</v>
      </c>
      <c r="J17" s="14" t="s">
        <v>471</v>
      </c>
      <c r="K17" s="10" t="s">
        <v>301</v>
      </c>
      <c r="L17" s="10" t="s">
        <v>382</v>
      </c>
      <c r="M17" s="14" t="s">
        <v>366</v>
      </c>
      <c r="N17" s="14" t="s">
        <v>151</v>
      </c>
    </row>
    <row r="18" spans="1:14" ht="34.5" customHeight="1" x14ac:dyDescent="0.2">
      <c r="A18" s="9" t="s">
        <v>168</v>
      </c>
      <c r="B18" s="10" t="s">
        <v>438</v>
      </c>
      <c r="C18" s="10" t="s">
        <v>472</v>
      </c>
      <c r="D18" s="10" t="s">
        <v>440</v>
      </c>
      <c r="E18" s="10" t="s">
        <v>473</v>
      </c>
      <c r="F18" s="10" t="s">
        <v>359</v>
      </c>
      <c r="G18" s="10" t="s">
        <v>468</v>
      </c>
      <c r="H18" s="10" t="s">
        <v>474</v>
      </c>
      <c r="I18" s="10" t="s">
        <v>475</v>
      </c>
      <c r="J18" s="14" t="s">
        <v>476</v>
      </c>
      <c r="K18" s="10" t="s">
        <v>301</v>
      </c>
      <c r="L18" s="10" t="s">
        <v>382</v>
      </c>
      <c r="M18" s="10" t="s">
        <v>366</v>
      </c>
      <c r="N18" s="10" t="s">
        <v>166</v>
      </c>
    </row>
    <row r="19" spans="1:14" ht="68.25" customHeight="1" x14ac:dyDescent="0.2">
      <c r="A19" s="9" t="s">
        <v>216</v>
      </c>
      <c r="B19" s="10" t="s">
        <v>438</v>
      </c>
      <c r="C19" s="10" t="s">
        <v>477</v>
      </c>
      <c r="D19" s="10" t="s">
        <v>440</v>
      </c>
      <c r="E19" s="10" t="s">
        <v>478</v>
      </c>
      <c r="F19" s="10" t="s">
        <v>434</v>
      </c>
      <c r="G19" s="10" t="s">
        <v>479</v>
      </c>
      <c r="H19" s="10" t="s">
        <v>480</v>
      </c>
      <c r="I19" s="10" t="s">
        <v>481</v>
      </c>
      <c r="J19" s="10" t="s">
        <v>482</v>
      </c>
      <c r="K19" s="10" t="s">
        <v>326</v>
      </c>
      <c r="L19" s="10" t="s">
        <v>382</v>
      </c>
      <c r="M19" s="10" t="s">
        <v>366</v>
      </c>
      <c r="N19" s="10" t="s">
        <v>214</v>
      </c>
    </row>
    <row r="20" spans="1:14" ht="57" customHeight="1" x14ac:dyDescent="0.2">
      <c r="A20" s="9" t="s">
        <v>483</v>
      </c>
      <c r="B20" s="10" t="s">
        <v>438</v>
      </c>
      <c r="C20" s="10" t="s">
        <v>484</v>
      </c>
      <c r="D20" s="10" t="s">
        <v>440</v>
      </c>
      <c r="E20" s="10" t="s">
        <v>485</v>
      </c>
      <c r="F20" s="10" t="s">
        <v>434</v>
      </c>
      <c r="G20" s="10" t="s">
        <v>410</v>
      </c>
      <c r="H20" s="10" t="s">
        <v>486</v>
      </c>
      <c r="I20" s="10" t="s">
        <v>487</v>
      </c>
      <c r="J20" s="10" t="s">
        <v>397</v>
      </c>
      <c r="K20" s="10" t="s">
        <v>334</v>
      </c>
      <c r="L20" s="10" t="s">
        <v>382</v>
      </c>
      <c r="M20" s="10" t="s">
        <v>376</v>
      </c>
      <c r="N20" s="10" t="s">
        <v>129</v>
      </c>
    </row>
    <row r="21" spans="1:14" ht="34.5" customHeight="1" x14ac:dyDescent="0.2">
      <c r="A21" s="9" t="s">
        <v>488</v>
      </c>
      <c r="B21" s="10" t="s">
        <v>355</v>
      </c>
      <c r="C21" s="10" t="s">
        <v>489</v>
      </c>
      <c r="D21" s="10" t="s">
        <v>368</v>
      </c>
      <c r="E21" s="10" t="s">
        <v>490</v>
      </c>
      <c r="F21" s="10" t="s">
        <v>359</v>
      </c>
      <c r="G21" s="10" t="s">
        <v>491</v>
      </c>
      <c r="H21" s="10" t="s">
        <v>492</v>
      </c>
      <c r="I21" s="10" t="s">
        <v>493</v>
      </c>
      <c r="J21" s="10" t="s">
        <v>397</v>
      </c>
      <c r="K21" s="10" t="s">
        <v>460</v>
      </c>
      <c r="L21" s="10" t="s">
        <v>494</v>
      </c>
      <c r="M21" s="10" t="s">
        <v>376</v>
      </c>
      <c r="N21" s="10" t="s">
        <v>129</v>
      </c>
    </row>
    <row r="22" spans="1:14" ht="34.5" customHeight="1" x14ac:dyDescent="0.2">
      <c r="A22" s="9" t="s">
        <v>495</v>
      </c>
      <c r="B22" s="10" t="s">
        <v>355</v>
      </c>
      <c r="C22" s="10" t="s">
        <v>496</v>
      </c>
      <c r="D22" s="10" t="s">
        <v>440</v>
      </c>
      <c r="E22" s="10" t="s">
        <v>497</v>
      </c>
      <c r="F22" s="10" t="s">
        <v>434</v>
      </c>
      <c r="G22" s="10" t="s">
        <v>417</v>
      </c>
      <c r="H22" s="10" t="s">
        <v>498</v>
      </c>
      <c r="I22" s="10" t="s">
        <v>499</v>
      </c>
      <c r="J22" s="10" t="s">
        <v>397</v>
      </c>
      <c r="K22" s="10" t="s">
        <v>292</v>
      </c>
      <c r="L22" s="10" t="s">
        <v>382</v>
      </c>
      <c r="M22" s="10" t="s">
        <v>376</v>
      </c>
      <c r="N22" s="10" t="s">
        <v>129</v>
      </c>
    </row>
    <row r="23" spans="1:14" ht="102" customHeight="1" x14ac:dyDescent="0.2">
      <c r="A23" s="9" t="s">
        <v>500</v>
      </c>
      <c r="B23" s="10" t="s">
        <v>355</v>
      </c>
      <c r="C23" s="10" t="s">
        <v>501</v>
      </c>
      <c r="D23" s="10" t="s">
        <v>357</v>
      </c>
      <c r="E23" s="10" t="s">
        <v>502</v>
      </c>
      <c r="F23" s="10" t="s">
        <v>359</v>
      </c>
      <c r="G23" s="10" t="s">
        <v>503</v>
      </c>
      <c r="H23" s="10" t="s">
        <v>504</v>
      </c>
      <c r="I23" s="10" t="s">
        <v>505</v>
      </c>
      <c r="J23" s="10" t="s">
        <v>397</v>
      </c>
      <c r="K23" s="10" t="s">
        <v>275</v>
      </c>
      <c r="L23" s="10" t="s">
        <v>506</v>
      </c>
      <c r="M23" s="10" t="s">
        <v>376</v>
      </c>
      <c r="N23" s="10" t="s">
        <v>129</v>
      </c>
    </row>
    <row r="24" spans="1:14" ht="79.5" customHeight="1" x14ac:dyDescent="0.2">
      <c r="A24" s="9" t="s">
        <v>507</v>
      </c>
      <c r="B24" s="10" t="s">
        <v>355</v>
      </c>
      <c r="C24" s="10" t="s">
        <v>508</v>
      </c>
      <c r="D24" s="10" t="s">
        <v>357</v>
      </c>
      <c r="E24" s="10" t="s">
        <v>509</v>
      </c>
      <c r="F24" s="10" t="s">
        <v>434</v>
      </c>
      <c r="G24" s="10" t="s">
        <v>510</v>
      </c>
      <c r="H24" s="10" t="s">
        <v>511</v>
      </c>
      <c r="I24" s="10" t="s">
        <v>512</v>
      </c>
      <c r="J24" s="10" t="s">
        <v>397</v>
      </c>
      <c r="K24" s="10" t="s">
        <v>275</v>
      </c>
      <c r="L24" s="10" t="s">
        <v>382</v>
      </c>
      <c r="M24" s="10" t="s">
        <v>376</v>
      </c>
      <c r="N24" s="10" t="s">
        <v>129</v>
      </c>
    </row>
    <row r="25" spans="1:14" ht="68.25" customHeight="1" x14ac:dyDescent="0.2">
      <c r="A25" s="9" t="s">
        <v>513</v>
      </c>
      <c r="B25" s="10" t="s">
        <v>355</v>
      </c>
      <c r="C25" s="10" t="s">
        <v>514</v>
      </c>
      <c r="D25" s="10" t="s">
        <v>357</v>
      </c>
      <c r="E25" s="10" t="s">
        <v>515</v>
      </c>
      <c r="F25" s="10" t="s">
        <v>359</v>
      </c>
      <c r="G25" s="10" t="s">
        <v>516</v>
      </c>
      <c r="H25" s="10" t="s">
        <v>517</v>
      </c>
      <c r="I25" s="10" t="s">
        <v>518</v>
      </c>
      <c r="J25" s="10" t="s">
        <v>397</v>
      </c>
      <c r="K25" s="10" t="s">
        <v>275</v>
      </c>
      <c r="L25" s="10" t="s">
        <v>519</v>
      </c>
      <c r="M25" s="10" t="s">
        <v>376</v>
      </c>
      <c r="N25" s="10" t="s">
        <v>129</v>
      </c>
    </row>
    <row r="26" spans="1:14" ht="57" customHeight="1" x14ac:dyDescent="0.2">
      <c r="A26" s="9" t="s">
        <v>520</v>
      </c>
      <c r="B26" s="10" t="s">
        <v>355</v>
      </c>
      <c r="C26" s="10" t="s">
        <v>521</v>
      </c>
      <c r="D26" s="10" t="s">
        <v>357</v>
      </c>
      <c r="E26" s="10" t="s">
        <v>522</v>
      </c>
      <c r="F26" s="10" t="s">
        <v>359</v>
      </c>
      <c r="G26" s="10" t="s">
        <v>516</v>
      </c>
      <c r="H26" s="10" t="s">
        <v>523</v>
      </c>
      <c r="I26" s="10" t="s">
        <v>524</v>
      </c>
      <c r="J26" s="10" t="s">
        <v>397</v>
      </c>
      <c r="K26" s="10" t="s">
        <v>275</v>
      </c>
      <c r="L26" s="10" t="s">
        <v>525</v>
      </c>
      <c r="M26" s="10" t="s">
        <v>376</v>
      </c>
      <c r="N26" s="10" t="s">
        <v>129</v>
      </c>
    </row>
    <row r="27" spans="1:14" ht="113.25" customHeight="1" x14ac:dyDescent="0.2">
      <c r="A27" s="9" t="s">
        <v>526</v>
      </c>
      <c r="B27" s="10" t="s">
        <v>355</v>
      </c>
      <c r="C27" s="10" t="s">
        <v>527</v>
      </c>
      <c r="D27" s="10" t="s">
        <v>357</v>
      </c>
      <c r="E27" s="10" t="s">
        <v>528</v>
      </c>
      <c r="F27" s="10" t="s">
        <v>359</v>
      </c>
      <c r="G27" s="10" t="s">
        <v>529</v>
      </c>
      <c r="H27" s="10" t="s">
        <v>530</v>
      </c>
      <c r="I27" s="10" t="s">
        <v>531</v>
      </c>
      <c r="J27" s="10" t="s">
        <v>532</v>
      </c>
      <c r="K27" s="10" t="s">
        <v>275</v>
      </c>
      <c r="L27" s="10" t="s">
        <v>533</v>
      </c>
      <c r="M27" s="10" t="s">
        <v>376</v>
      </c>
      <c r="N27" s="10" t="s">
        <v>129</v>
      </c>
    </row>
    <row r="28" spans="1:14" ht="79.5" customHeight="1" x14ac:dyDescent="0.2">
      <c r="A28" s="9" t="s">
        <v>534</v>
      </c>
      <c r="B28" s="10" t="s">
        <v>355</v>
      </c>
      <c r="C28" s="10" t="s">
        <v>535</v>
      </c>
      <c r="D28" s="10" t="s">
        <v>357</v>
      </c>
      <c r="E28" s="10" t="s">
        <v>536</v>
      </c>
      <c r="F28" s="10" t="s">
        <v>359</v>
      </c>
      <c r="G28" s="10" t="s">
        <v>537</v>
      </c>
      <c r="H28" s="10" t="s">
        <v>538</v>
      </c>
      <c r="I28" s="10" t="s">
        <v>224</v>
      </c>
      <c r="J28" s="10" t="s">
        <v>539</v>
      </c>
      <c r="K28" s="10" t="s">
        <v>275</v>
      </c>
      <c r="L28" s="10" t="s">
        <v>540</v>
      </c>
      <c r="M28" s="10" t="s">
        <v>376</v>
      </c>
      <c r="N28" s="10" t="s">
        <v>129</v>
      </c>
    </row>
    <row r="29" spans="1:14" ht="79.5" customHeight="1" x14ac:dyDescent="0.2">
      <c r="A29" s="9" t="s">
        <v>224</v>
      </c>
      <c r="B29" s="10" t="s">
        <v>355</v>
      </c>
      <c r="C29" s="10" t="s">
        <v>541</v>
      </c>
      <c r="D29" s="10" t="s">
        <v>357</v>
      </c>
      <c r="E29" s="10" t="s">
        <v>542</v>
      </c>
      <c r="F29" s="10" t="s">
        <v>359</v>
      </c>
      <c r="G29" s="10" t="s">
        <v>543</v>
      </c>
      <c r="H29" s="10" t="s">
        <v>544</v>
      </c>
      <c r="I29" s="10" t="s">
        <v>534</v>
      </c>
      <c r="J29" s="14" t="s">
        <v>545</v>
      </c>
      <c r="K29" s="10" t="s">
        <v>275</v>
      </c>
      <c r="L29" s="10" t="s">
        <v>382</v>
      </c>
      <c r="M29" s="10" t="s">
        <v>366</v>
      </c>
      <c r="N29" s="10" t="s">
        <v>222</v>
      </c>
    </row>
    <row r="30" spans="1:14" ht="57" customHeight="1" x14ac:dyDescent="0.2">
      <c r="A30" s="9" t="s">
        <v>228</v>
      </c>
      <c r="B30" s="10" t="s">
        <v>355</v>
      </c>
      <c r="C30" s="10" t="s">
        <v>546</v>
      </c>
      <c r="D30" s="10" t="s">
        <v>357</v>
      </c>
      <c r="E30" s="10" t="s">
        <v>547</v>
      </c>
      <c r="F30" s="10" t="s">
        <v>359</v>
      </c>
      <c r="G30" s="10" t="s">
        <v>548</v>
      </c>
      <c r="H30" s="10" t="s">
        <v>549</v>
      </c>
      <c r="I30" s="10" t="s">
        <v>232</v>
      </c>
      <c r="J30" s="14" t="s">
        <v>550</v>
      </c>
      <c r="K30" s="10" t="s">
        <v>275</v>
      </c>
      <c r="L30" s="10" t="s">
        <v>382</v>
      </c>
      <c r="M30" s="10" t="s">
        <v>366</v>
      </c>
      <c r="N30" s="10" t="s">
        <v>226</v>
      </c>
    </row>
    <row r="31" spans="1:14" ht="79.5" customHeight="1" x14ac:dyDescent="0.2">
      <c r="A31" s="9" t="s">
        <v>232</v>
      </c>
      <c r="B31" s="10" t="s">
        <v>355</v>
      </c>
      <c r="C31" s="10" t="s">
        <v>551</v>
      </c>
      <c r="D31" s="10" t="s">
        <v>357</v>
      </c>
      <c r="E31" s="10" t="s">
        <v>552</v>
      </c>
      <c r="F31" s="10" t="s">
        <v>359</v>
      </c>
      <c r="G31" s="10" t="s">
        <v>553</v>
      </c>
      <c r="H31" s="10" t="s">
        <v>554</v>
      </c>
      <c r="I31" s="10" t="s">
        <v>228</v>
      </c>
      <c r="J31" s="14" t="s">
        <v>555</v>
      </c>
      <c r="K31" s="10" t="s">
        <v>275</v>
      </c>
      <c r="L31" s="10" t="s">
        <v>382</v>
      </c>
      <c r="M31" s="10" t="s">
        <v>366</v>
      </c>
      <c r="N31" s="10" t="s">
        <v>230</v>
      </c>
    </row>
    <row r="32" spans="1:14" ht="68.25" customHeight="1" x14ac:dyDescent="0.2">
      <c r="A32" s="9" t="s">
        <v>183</v>
      </c>
      <c r="B32" s="10" t="s">
        <v>355</v>
      </c>
      <c r="C32" s="10" t="s">
        <v>556</v>
      </c>
      <c r="D32" s="10" t="s">
        <v>357</v>
      </c>
      <c r="E32" s="10" t="s">
        <v>557</v>
      </c>
      <c r="F32" s="10" t="s">
        <v>359</v>
      </c>
      <c r="G32" s="10" t="s">
        <v>558</v>
      </c>
      <c r="H32" s="10" t="s">
        <v>559</v>
      </c>
      <c r="I32" s="10" t="s">
        <v>560</v>
      </c>
      <c r="J32" s="14" t="s">
        <v>561</v>
      </c>
      <c r="K32" s="10" t="s">
        <v>275</v>
      </c>
      <c r="L32" s="10" t="s">
        <v>562</v>
      </c>
      <c r="M32" s="10" t="s">
        <v>366</v>
      </c>
      <c r="N32" s="10" t="s">
        <v>234</v>
      </c>
    </row>
    <row r="33" spans="1:14" ht="79.5" customHeight="1" x14ac:dyDescent="0.2">
      <c r="A33" s="9" t="s">
        <v>239</v>
      </c>
      <c r="B33" s="10" t="s">
        <v>355</v>
      </c>
      <c r="C33" s="10" t="s">
        <v>563</v>
      </c>
      <c r="D33" s="10" t="s">
        <v>368</v>
      </c>
      <c r="E33" s="10" t="s">
        <v>564</v>
      </c>
      <c r="F33" s="10" t="s">
        <v>359</v>
      </c>
      <c r="G33" s="10" t="s">
        <v>565</v>
      </c>
      <c r="H33" s="10" t="s">
        <v>566</v>
      </c>
      <c r="I33" s="10" t="s">
        <v>183</v>
      </c>
      <c r="J33" s="14" t="s">
        <v>567</v>
      </c>
      <c r="K33" s="10" t="s">
        <v>275</v>
      </c>
      <c r="L33" s="10" t="s">
        <v>382</v>
      </c>
      <c r="M33" s="10" t="s">
        <v>366</v>
      </c>
      <c r="N33" s="10" t="s">
        <v>237</v>
      </c>
    </row>
    <row r="34" spans="1:14" ht="79.5" customHeight="1" x14ac:dyDescent="0.2">
      <c r="A34" s="9" t="s">
        <v>243</v>
      </c>
      <c r="B34" s="10" t="s">
        <v>355</v>
      </c>
      <c r="C34" s="10" t="s">
        <v>568</v>
      </c>
      <c r="D34" s="10" t="s">
        <v>357</v>
      </c>
      <c r="E34" s="10" t="s">
        <v>569</v>
      </c>
      <c r="F34" s="10" t="s">
        <v>359</v>
      </c>
      <c r="G34" s="10" t="s">
        <v>570</v>
      </c>
      <c r="H34" s="10" t="s">
        <v>571</v>
      </c>
      <c r="I34" s="10" t="s">
        <v>572</v>
      </c>
      <c r="J34" s="14" t="s">
        <v>573</v>
      </c>
      <c r="K34" s="10" t="s">
        <v>275</v>
      </c>
      <c r="L34" s="10" t="s">
        <v>382</v>
      </c>
      <c r="M34" s="10" t="s">
        <v>366</v>
      </c>
      <c r="N34" s="10" t="s">
        <v>241</v>
      </c>
    </row>
    <row r="35" spans="1:14" ht="90.75" customHeight="1" x14ac:dyDescent="0.2">
      <c r="A35" s="9" t="s">
        <v>184</v>
      </c>
      <c r="B35" s="10" t="s">
        <v>355</v>
      </c>
      <c r="C35" s="10" t="s">
        <v>574</v>
      </c>
      <c r="D35" s="10" t="s">
        <v>357</v>
      </c>
      <c r="E35" s="10" t="s">
        <v>575</v>
      </c>
      <c r="F35" s="10" t="s">
        <v>359</v>
      </c>
      <c r="G35" s="10" t="s">
        <v>576</v>
      </c>
      <c r="H35" s="10" t="s">
        <v>577</v>
      </c>
      <c r="I35" s="10" t="s">
        <v>578</v>
      </c>
      <c r="J35" s="10" t="s">
        <v>579</v>
      </c>
      <c r="K35" s="10" t="s">
        <v>580</v>
      </c>
      <c r="L35" s="10" t="s">
        <v>581</v>
      </c>
      <c r="M35" s="10" t="s">
        <v>366</v>
      </c>
      <c r="N35" s="10" t="s">
        <v>582</v>
      </c>
    </row>
    <row r="36" spans="1:14" ht="68.25" customHeight="1" x14ac:dyDescent="0.2">
      <c r="A36" s="9" t="s">
        <v>152</v>
      </c>
      <c r="B36" s="10" t="s">
        <v>355</v>
      </c>
      <c r="C36" s="10" t="s">
        <v>583</v>
      </c>
      <c r="D36" s="10" t="s">
        <v>357</v>
      </c>
      <c r="E36" s="10" t="s">
        <v>584</v>
      </c>
      <c r="F36" s="10" t="s">
        <v>359</v>
      </c>
      <c r="G36" s="10" t="s">
        <v>585</v>
      </c>
      <c r="H36" s="10" t="s">
        <v>586</v>
      </c>
      <c r="I36" s="10" t="s">
        <v>587</v>
      </c>
      <c r="J36" s="14" t="s">
        <v>588</v>
      </c>
      <c r="K36" s="10" t="s">
        <v>589</v>
      </c>
      <c r="L36" s="10" t="s">
        <v>590</v>
      </c>
      <c r="M36" s="14" t="s">
        <v>366</v>
      </c>
      <c r="N36" s="14" t="s">
        <v>151</v>
      </c>
    </row>
    <row r="37" spans="1:14" ht="102" customHeight="1" x14ac:dyDescent="0.2">
      <c r="A37" s="9" t="s">
        <v>156</v>
      </c>
      <c r="B37" s="10" t="s">
        <v>355</v>
      </c>
      <c r="C37" s="10" t="s">
        <v>591</v>
      </c>
      <c r="D37" s="10" t="s">
        <v>357</v>
      </c>
      <c r="E37" s="10" t="s">
        <v>592</v>
      </c>
      <c r="F37" s="10" t="s">
        <v>359</v>
      </c>
      <c r="G37" s="10" t="s">
        <v>593</v>
      </c>
      <c r="H37" s="10" t="s">
        <v>594</v>
      </c>
      <c r="I37" s="10" t="s">
        <v>595</v>
      </c>
      <c r="J37" s="10" t="s">
        <v>596</v>
      </c>
      <c r="K37" s="10" t="s">
        <v>589</v>
      </c>
      <c r="L37" s="10" t="s">
        <v>597</v>
      </c>
      <c r="M37" s="10" t="s">
        <v>376</v>
      </c>
      <c r="N37" s="10" t="s">
        <v>129</v>
      </c>
    </row>
    <row r="38" spans="1:14" ht="90.75" customHeight="1" x14ac:dyDescent="0.2">
      <c r="A38" s="9" t="s">
        <v>161</v>
      </c>
      <c r="B38" s="10" t="s">
        <v>355</v>
      </c>
      <c r="C38" s="10" t="s">
        <v>598</v>
      </c>
      <c r="D38" s="10" t="s">
        <v>357</v>
      </c>
      <c r="E38" s="10" t="s">
        <v>599</v>
      </c>
      <c r="F38" s="10" t="s">
        <v>359</v>
      </c>
      <c r="G38" s="10" t="s">
        <v>600</v>
      </c>
      <c r="H38" s="10" t="s">
        <v>601</v>
      </c>
      <c r="I38" s="10" t="s">
        <v>164</v>
      </c>
      <c r="J38" s="14" t="s">
        <v>602</v>
      </c>
      <c r="K38" s="10" t="s">
        <v>589</v>
      </c>
      <c r="L38" s="10" t="s">
        <v>603</v>
      </c>
      <c r="M38" s="10" t="s">
        <v>366</v>
      </c>
      <c r="N38" s="10" t="s">
        <v>160</v>
      </c>
    </row>
    <row r="39" spans="1:14" ht="68.25" customHeight="1" x14ac:dyDescent="0.2">
      <c r="A39" s="9" t="s">
        <v>164</v>
      </c>
      <c r="B39" s="10" t="s">
        <v>355</v>
      </c>
      <c r="C39" s="10" t="s">
        <v>604</v>
      </c>
      <c r="D39" s="10" t="s">
        <v>357</v>
      </c>
      <c r="E39" s="10" t="s">
        <v>605</v>
      </c>
      <c r="F39" s="10" t="s">
        <v>434</v>
      </c>
      <c r="G39" s="10" t="s">
        <v>606</v>
      </c>
      <c r="H39" s="10" t="s">
        <v>607</v>
      </c>
      <c r="I39" s="10" t="s">
        <v>608</v>
      </c>
      <c r="J39" s="10" t="s">
        <v>609</v>
      </c>
      <c r="K39" s="10" t="s">
        <v>589</v>
      </c>
      <c r="L39" s="10" t="s">
        <v>382</v>
      </c>
      <c r="M39" s="10" t="s">
        <v>376</v>
      </c>
      <c r="N39" s="10" t="s">
        <v>129</v>
      </c>
    </row>
    <row r="40" spans="1:14" ht="34.5" customHeight="1" x14ac:dyDescent="0.2">
      <c r="A40" s="9" t="s">
        <v>610</v>
      </c>
      <c r="B40" s="10" t="s">
        <v>355</v>
      </c>
      <c r="C40" s="10" t="s">
        <v>611</v>
      </c>
      <c r="D40" s="10" t="s">
        <v>357</v>
      </c>
      <c r="E40" s="10" t="s">
        <v>612</v>
      </c>
      <c r="F40" s="10" t="s">
        <v>359</v>
      </c>
      <c r="G40" s="10" t="s">
        <v>613</v>
      </c>
      <c r="H40" s="10" t="s">
        <v>614</v>
      </c>
      <c r="I40" s="10" t="s">
        <v>615</v>
      </c>
      <c r="J40" s="10" t="s">
        <v>397</v>
      </c>
      <c r="K40" s="10" t="s">
        <v>258</v>
      </c>
      <c r="L40" s="10" t="s">
        <v>616</v>
      </c>
      <c r="M40" s="10" t="s">
        <v>376</v>
      </c>
      <c r="N40" s="10" t="s">
        <v>129</v>
      </c>
    </row>
    <row r="41" spans="1:14" ht="34.5" customHeight="1" x14ac:dyDescent="0.2">
      <c r="A41" s="9" t="s">
        <v>179</v>
      </c>
      <c r="B41" s="10" t="s">
        <v>355</v>
      </c>
      <c r="C41" s="10" t="s">
        <v>617</v>
      </c>
      <c r="D41" s="10" t="s">
        <v>357</v>
      </c>
      <c r="E41" s="10" t="s">
        <v>618</v>
      </c>
      <c r="F41" s="10" t="s">
        <v>359</v>
      </c>
      <c r="G41" s="10" t="s">
        <v>619</v>
      </c>
      <c r="H41" s="10" t="s">
        <v>620</v>
      </c>
      <c r="I41" s="10" t="s">
        <v>621</v>
      </c>
      <c r="J41" s="10" t="s">
        <v>397</v>
      </c>
      <c r="K41" s="10" t="s">
        <v>622</v>
      </c>
      <c r="L41" s="10" t="s">
        <v>623</v>
      </c>
      <c r="M41" s="10" t="s">
        <v>376</v>
      </c>
      <c r="N41" s="10" t="s">
        <v>129</v>
      </c>
    </row>
    <row r="42" spans="1:14" ht="79.5" customHeight="1" x14ac:dyDescent="0.2">
      <c r="A42" s="9" t="s">
        <v>624</v>
      </c>
      <c r="B42" s="10" t="s">
        <v>355</v>
      </c>
      <c r="C42" s="10" t="s">
        <v>625</v>
      </c>
      <c r="D42" s="10" t="s">
        <v>357</v>
      </c>
      <c r="E42" s="10" t="s">
        <v>626</v>
      </c>
      <c r="F42" s="10" t="s">
        <v>434</v>
      </c>
      <c r="G42" s="10" t="s">
        <v>47</v>
      </c>
      <c r="H42" s="10" t="s">
        <v>627</v>
      </c>
      <c r="I42" s="10" t="s">
        <v>628</v>
      </c>
      <c r="J42" s="10" t="s">
        <v>397</v>
      </c>
      <c r="K42" s="10" t="s">
        <v>622</v>
      </c>
      <c r="L42" s="10" t="s">
        <v>382</v>
      </c>
      <c r="M42" s="10" t="s">
        <v>376</v>
      </c>
      <c r="N42" s="10" t="s">
        <v>129</v>
      </c>
    </row>
    <row r="43" spans="1:14" ht="45.75" customHeight="1" x14ac:dyDescent="0.2">
      <c r="A43" s="9" t="s">
        <v>189</v>
      </c>
      <c r="B43" s="10" t="s">
        <v>355</v>
      </c>
      <c r="C43" s="10" t="s">
        <v>629</v>
      </c>
      <c r="D43" s="10" t="s">
        <v>415</v>
      </c>
      <c r="E43" s="10" t="s">
        <v>630</v>
      </c>
      <c r="F43" s="10" t="s">
        <v>359</v>
      </c>
      <c r="G43" s="10" t="s">
        <v>631</v>
      </c>
      <c r="H43" s="10" t="s">
        <v>632</v>
      </c>
      <c r="I43" s="10" t="s">
        <v>633</v>
      </c>
      <c r="J43" s="14" t="s">
        <v>634</v>
      </c>
      <c r="K43" s="10" t="s">
        <v>258</v>
      </c>
      <c r="L43" s="10" t="s">
        <v>382</v>
      </c>
      <c r="M43" s="14" t="s">
        <v>366</v>
      </c>
      <c r="N43" s="14" t="s">
        <v>188</v>
      </c>
    </row>
    <row r="44" spans="1:14" ht="34.5" customHeight="1" x14ac:dyDescent="0.2">
      <c r="A44" s="9" t="s">
        <v>167</v>
      </c>
      <c r="B44" s="10" t="s">
        <v>355</v>
      </c>
      <c r="C44" s="10" t="s">
        <v>635</v>
      </c>
      <c r="D44" s="10" t="s">
        <v>368</v>
      </c>
      <c r="E44" s="10" t="s">
        <v>636</v>
      </c>
      <c r="F44" s="10" t="s">
        <v>359</v>
      </c>
      <c r="G44" s="10" t="s">
        <v>637</v>
      </c>
      <c r="H44" s="10" t="s">
        <v>638</v>
      </c>
      <c r="I44" s="10" t="s">
        <v>639</v>
      </c>
      <c r="J44" s="14" t="s">
        <v>640</v>
      </c>
      <c r="K44" s="10" t="s">
        <v>641</v>
      </c>
      <c r="L44" s="10" t="s">
        <v>382</v>
      </c>
      <c r="M44" s="14" t="s">
        <v>366</v>
      </c>
      <c r="N44" s="14" t="s">
        <v>642</v>
      </c>
    </row>
    <row r="45" spans="1:14" ht="68.25" customHeight="1" x14ac:dyDescent="0.2">
      <c r="A45" s="9" t="s">
        <v>171</v>
      </c>
      <c r="B45" s="10" t="s">
        <v>355</v>
      </c>
      <c r="C45" s="10" t="s">
        <v>643</v>
      </c>
      <c r="D45" s="10" t="s">
        <v>368</v>
      </c>
      <c r="E45" s="10" t="s">
        <v>644</v>
      </c>
      <c r="F45" s="10" t="s">
        <v>359</v>
      </c>
      <c r="G45" s="10" t="s">
        <v>645</v>
      </c>
      <c r="H45" s="10" t="s">
        <v>646</v>
      </c>
      <c r="I45" s="10" t="s">
        <v>647</v>
      </c>
      <c r="J45" s="14" t="s">
        <v>648</v>
      </c>
      <c r="K45" s="10" t="s">
        <v>641</v>
      </c>
      <c r="L45" s="10" t="s">
        <v>382</v>
      </c>
      <c r="M45" s="10" t="s">
        <v>366</v>
      </c>
      <c r="N45" s="10" t="s">
        <v>245</v>
      </c>
    </row>
    <row r="46" spans="1:14" ht="90.75" customHeight="1" x14ac:dyDescent="0.2">
      <c r="A46" s="9" t="s">
        <v>481</v>
      </c>
      <c r="B46" s="10" t="s">
        <v>355</v>
      </c>
      <c r="C46" s="10" t="s">
        <v>649</v>
      </c>
      <c r="D46" s="10" t="s">
        <v>357</v>
      </c>
      <c r="E46" s="10" t="s">
        <v>650</v>
      </c>
      <c r="F46" s="10" t="s">
        <v>359</v>
      </c>
      <c r="G46" s="10" t="s">
        <v>651</v>
      </c>
      <c r="H46" s="10" t="s">
        <v>652</v>
      </c>
      <c r="I46" s="10" t="s">
        <v>653</v>
      </c>
      <c r="J46" s="10" t="s">
        <v>654</v>
      </c>
      <c r="K46" s="10" t="s">
        <v>326</v>
      </c>
      <c r="L46" s="10" t="s">
        <v>655</v>
      </c>
      <c r="M46" s="10" t="s">
        <v>376</v>
      </c>
      <c r="N46" s="10" t="s">
        <v>129</v>
      </c>
    </row>
    <row r="47" spans="1:14" ht="68.25" customHeight="1" x14ac:dyDescent="0.2">
      <c r="A47" s="9" t="s">
        <v>656</v>
      </c>
      <c r="B47" s="10" t="s">
        <v>355</v>
      </c>
      <c r="C47" s="10" t="s">
        <v>657</v>
      </c>
      <c r="D47" s="10" t="s">
        <v>357</v>
      </c>
      <c r="E47" s="10" t="s">
        <v>658</v>
      </c>
      <c r="F47" s="10" t="s">
        <v>434</v>
      </c>
      <c r="G47" s="10" t="s">
        <v>659</v>
      </c>
      <c r="H47" s="10" t="s">
        <v>660</v>
      </c>
      <c r="I47" s="10" t="s">
        <v>610</v>
      </c>
      <c r="J47" s="10" t="s">
        <v>397</v>
      </c>
      <c r="K47" s="10" t="s">
        <v>258</v>
      </c>
      <c r="L47" s="10" t="s">
        <v>382</v>
      </c>
      <c r="M47" s="10" t="s">
        <v>376</v>
      </c>
      <c r="N47" s="10" t="s">
        <v>129</v>
      </c>
    </row>
    <row r="48" spans="1:14" ht="68.25" customHeight="1" x14ac:dyDescent="0.2">
      <c r="A48" s="9" t="s">
        <v>661</v>
      </c>
      <c r="B48" s="10" t="s">
        <v>355</v>
      </c>
      <c r="C48" s="10" t="s">
        <v>662</v>
      </c>
      <c r="D48" s="10" t="s">
        <v>357</v>
      </c>
      <c r="E48" s="10" t="s">
        <v>663</v>
      </c>
      <c r="F48" s="10" t="s">
        <v>434</v>
      </c>
      <c r="G48" s="10" t="s">
        <v>664</v>
      </c>
      <c r="H48" s="10" t="s">
        <v>665</v>
      </c>
      <c r="I48" s="10" t="s">
        <v>132</v>
      </c>
      <c r="J48" s="10" t="s">
        <v>397</v>
      </c>
      <c r="K48" s="10" t="s">
        <v>666</v>
      </c>
      <c r="L48" s="10" t="s">
        <v>382</v>
      </c>
      <c r="M48" s="10" t="s">
        <v>376</v>
      </c>
      <c r="N48" s="10" t="s">
        <v>129</v>
      </c>
    </row>
    <row r="49" spans="1:14" ht="34.5" customHeight="1" x14ac:dyDescent="0.2">
      <c r="A49" s="9" t="s">
        <v>667</v>
      </c>
      <c r="B49" s="10" t="s">
        <v>355</v>
      </c>
      <c r="C49" s="10" t="s">
        <v>668</v>
      </c>
      <c r="D49" s="10" t="s">
        <v>368</v>
      </c>
      <c r="E49" s="10" t="s">
        <v>669</v>
      </c>
      <c r="F49" s="10" t="s">
        <v>434</v>
      </c>
      <c r="G49" s="10" t="s">
        <v>417</v>
      </c>
      <c r="H49" s="10" t="s">
        <v>670</v>
      </c>
      <c r="I49" s="10" t="s">
        <v>671</v>
      </c>
      <c r="J49" s="10" t="s">
        <v>397</v>
      </c>
      <c r="K49" s="10" t="s">
        <v>292</v>
      </c>
      <c r="L49" s="10" t="s">
        <v>382</v>
      </c>
      <c r="M49" s="10" t="s">
        <v>376</v>
      </c>
      <c r="N49" s="10" t="s">
        <v>129</v>
      </c>
    </row>
    <row r="50" spans="1:14" ht="68.25" customHeight="1" x14ac:dyDescent="0.2">
      <c r="A50" s="9" t="s">
        <v>174</v>
      </c>
      <c r="B50" s="10" t="s">
        <v>355</v>
      </c>
      <c r="C50" s="10" t="s">
        <v>672</v>
      </c>
      <c r="D50" s="10" t="s">
        <v>357</v>
      </c>
      <c r="E50" s="10" t="s">
        <v>673</v>
      </c>
      <c r="F50" s="10" t="s">
        <v>434</v>
      </c>
      <c r="G50" s="10" t="s">
        <v>674</v>
      </c>
      <c r="H50" s="10" t="s">
        <v>675</v>
      </c>
      <c r="I50" s="10" t="s">
        <v>168</v>
      </c>
      <c r="J50" s="10" t="s">
        <v>676</v>
      </c>
      <c r="K50" s="10" t="s">
        <v>641</v>
      </c>
      <c r="L50" s="10" t="s">
        <v>382</v>
      </c>
      <c r="M50" s="10" t="s">
        <v>376</v>
      </c>
      <c r="N50" s="10" t="s">
        <v>129</v>
      </c>
    </row>
    <row r="51" spans="1:14" ht="57" customHeight="1" x14ac:dyDescent="0.2">
      <c r="A51" s="9" t="s">
        <v>677</v>
      </c>
      <c r="B51" s="10" t="s">
        <v>438</v>
      </c>
      <c r="C51" s="10" t="s">
        <v>678</v>
      </c>
      <c r="D51" s="10" t="s">
        <v>440</v>
      </c>
      <c r="E51" s="10" t="s">
        <v>679</v>
      </c>
      <c r="F51" s="10" t="s">
        <v>434</v>
      </c>
      <c r="G51" s="10" t="s">
        <v>680</v>
      </c>
      <c r="H51" s="10" t="s">
        <v>681</v>
      </c>
      <c r="I51" s="10" t="s">
        <v>129</v>
      </c>
      <c r="J51" s="10" t="s">
        <v>397</v>
      </c>
      <c r="K51" s="10" t="s">
        <v>309</v>
      </c>
      <c r="L51" s="10" t="s">
        <v>382</v>
      </c>
      <c r="M51" s="10" t="s">
        <v>376</v>
      </c>
      <c r="N51" s="10" t="s">
        <v>129</v>
      </c>
    </row>
    <row r="52" spans="1:14" ht="68.25" customHeight="1" x14ac:dyDescent="0.2">
      <c r="A52" s="9" t="s">
        <v>220</v>
      </c>
      <c r="B52" s="10" t="s">
        <v>355</v>
      </c>
      <c r="C52" s="10" t="s">
        <v>682</v>
      </c>
      <c r="D52" s="10" t="s">
        <v>357</v>
      </c>
      <c r="E52" s="10" t="s">
        <v>683</v>
      </c>
      <c r="F52" s="10" t="s">
        <v>434</v>
      </c>
      <c r="G52" s="10" t="s">
        <v>684</v>
      </c>
      <c r="H52" s="10" t="s">
        <v>685</v>
      </c>
      <c r="I52" s="10" t="s">
        <v>123</v>
      </c>
      <c r="J52" s="10" t="s">
        <v>397</v>
      </c>
      <c r="K52" s="10" t="s">
        <v>686</v>
      </c>
      <c r="L52" s="10" t="s">
        <v>382</v>
      </c>
      <c r="M52" s="10" t="s">
        <v>376</v>
      </c>
      <c r="N52" s="10" t="s">
        <v>129</v>
      </c>
    </row>
    <row r="53" spans="1:14" ht="90" customHeight="1" x14ac:dyDescent="0.2">
      <c r="A53" s="9" t="s">
        <v>687</v>
      </c>
      <c r="B53" s="10" t="s">
        <v>355</v>
      </c>
      <c r="C53" s="10" t="s">
        <v>688</v>
      </c>
      <c r="D53" s="10" t="s">
        <v>357</v>
      </c>
      <c r="E53" s="10" t="s">
        <v>689</v>
      </c>
      <c r="F53" s="10" t="s">
        <v>434</v>
      </c>
      <c r="G53" s="10" t="s">
        <v>690</v>
      </c>
      <c r="H53" s="10" t="s">
        <v>691</v>
      </c>
      <c r="I53" s="10" t="s">
        <v>692</v>
      </c>
      <c r="J53" s="10" t="s">
        <v>693</v>
      </c>
      <c r="K53" s="10" t="s">
        <v>309</v>
      </c>
      <c r="L53" s="10" t="s">
        <v>694</v>
      </c>
      <c r="M53" s="10" t="s">
        <v>376</v>
      </c>
      <c r="N53" s="10" t="s">
        <v>129</v>
      </c>
    </row>
    <row r="54" spans="1:14" ht="90" customHeight="1" x14ac:dyDescent="0.2">
      <c r="A54" s="9" t="s">
        <v>695</v>
      </c>
      <c r="B54" s="10" t="s">
        <v>355</v>
      </c>
      <c r="C54" s="10" t="s">
        <v>696</v>
      </c>
      <c r="D54" s="10" t="s">
        <v>697</v>
      </c>
      <c r="E54" s="10" t="s">
        <v>698</v>
      </c>
      <c r="F54" s="10" t="s">
        <v>434</v>
      </c>
      <c r="G54" s="10" t="s">
        <v>699</v>
      </c>
      <c r="H54" s="10" t="s">
        <v>700</v>
      </c>
      <c r="I54" s="10" t="s">
        <v>701</v>
      </c>
      <c r="J54" s="10" t="s">
        <v>702</v>
      </c>
      <c r="K54" s="10" t="s">
        <v>309</v>
      </c>
      <c r="L54" s="10" t="s">
        <v>382</v>
      </c>
      <c r="M54" s="10" t="s">
        <v>366</v>
      </c>
      <c r="N54" s="10" t="s">
        <v>144</v>
      </c>
    </row>
    <row r="55" spans="1:14" ht="105" customHeight="1" x14ac:dyDescent="0.2">
      <c r="A55" s="9" t="s">
        <v>703</v>
      </c>
      <c r="B55" s="10" t="s">
        <v>438</v>
      </c>
      <c r="C55" s="10" t="s">
        <v>704</v>
      </c>
      <c r="D55" s="10" t="s">
        <v>705</v>
      </c>
      <c r="E55" s="10" t="s">
        <v>706</v>
      </c>
      <c r="F55" s="10" t="s">
        <v>359</v>
      </c>
      <c r="G55" s="10" t="s">
        <v>707</v>
      </c>
      <c r="H55" s="10" t="s">
        <v>708</v>
      </c>
      <c r="I55" s="10" t="s">
        <v>709</v>
      </c>
      <c r="J55" s="10" t="s">
        <v>710</v>
      </c>
      <c r="K55" s="10" t="s">
        <v>398</v>
      </c>
      <c r="L55" s="10" t="s">
        <v>382</v>
      </c>
      <c r="M55" s="10" t="s">
        <v>376</v>
      </c>
      <c r="N55" s="10" t="s">
        <v>129</v>
      </c>
    </row>
    <row r="56" spans="1:14" ht="139.5" customHeight="1" x14ac:dyDescent="0.2">
      <c r="A56" s="9" t="s">
        <v>711</v>
      </c>
      <c r="B56" s="10" t="s">
        <v>355</v>
      </c>
      <c r="C56" s="10" t="s">
        <v>712</v>
      </c>
      <c r="D56" s="10" t="s">
        <v>357</v>
      </c>
      <c r="E56" s="10" t="s">
        <v>713</v>
      </c>
      <c r="F56" s="10" t="s">
        <v>434</v>
      </c>
      <c r="G56" s="10" t="s">
        <v>714</v>
      </c>
      <c r="H56" s="10" t="s">
        <v>715</v>
      </c>
      <c r="I56" s="10" t="s">
        <v>716</v>
      </c>
      <c r="J56" s="10" t="s">
        <v>397</v>
      </c>
      <c r="K56" s="10" t="s">
        <v>292</v>
      </c>
      <c r="L56" s="10" t="s">
        <v>717</v>
      </c>
      <c r="M56" s="10" t="s">
        <v>376</v>
      </c>
      <c r="N56" s="10" t="s">
        <v>129</v>
      </c>
    </row>
    <row r="57" spans="1:14" ht="111.75" customHeight="1" x14ac:dyDescent="0.2">
      <c r="A57" s="9" t="s">
        <v>718</v>
      </c>
      <c r="B57" s="10" t="s">
        <v>355</v>
      </c>
      <c r="C57" s="10" t="s">
        <v>719</v>
      </c>
      <c r="D57" s="10" t="s">
        <v>368</v>
      </c>
      <c r="E57" s="10" t="s">
        <v>720</v>
      </c>
      <c r="F57" s="10" t="s">
        <v>434</v>
      </c>
      <c r="G57" s="10" t="s">
        <v>721</v>
      </c>
      <c r="H57" s="10" t="s">
        <v>722</v>
      </c>
      <c r="I57" s="10" t="s">
        <v>723</v>
      </c>
      <c r="J57" s="10" t="s">
        <v>397</v>
      </c>
      <c r="K57" s="10" t="s">
        <v>292</v>
      </c>
      <c r="L57" s="10" t="s">
        <v>382</v>
      </c>
      <c r="M57" s="10" t="s">
        <v>376</v>
      </c>
      <c r="N57" s="10" t="s">
        <v>129</v>
      </c>
    </row>
    <row r="58" spans="1:14" ht="111.75" customHeight="1" x14ac:dyDescent="0.2">
      <c r="A58" s="9" t="s">
        <v>724</v>
      </c>
      <c r="B58" s="10" t="s">
        <v>355</v>
      </c>
      <c r="C58" s="10" t="s">
        <v>725</v>
      </c>
      <c r="D58" s="10" t="s">
        <v>357</v>
      </c>
      <c r="E58" s="10" t="s">
        <v>726</v>
      </c>
      <c r="F58" s="10" t="s">
        <v>434</v>
      </c>
      <c r="G58" s="10" t="s">
        <v>360</v>
      </c>
      <c r="H58" s="10" t="s">
        <v>727</v>
      </c>
      <c r="I58" s="10" t="s">
        <v>728</v>
      </c>
      <c r="J58" s="10" t="s">
        <v>729</v>
      </c>
      <c r="K58" s="10" t="s">
        <v>686</v>
      </c>
      <c r="L58" s="10" t="s">
        <v>730</v>
      </c>
      <c r="M58" s="10" t="s">
        <v>376</v>
      </c>
      <c r="N58" s="10" t="s">
        <v>129</v>
      </c>
    </row>
    <row r="59" spans="1:14" ht="210" customHeight="1" x14ac:dyDescent="0.2">
      <c r="A59" s="9" t="s">
        <v>731</v>
      </c>
      <c r="B59" s="10" t="s">
        <v>355</v>
      </c>
      <c r="C59" s="10" t="s">
        <v>732</v>
      </c>
      <c r="D59" s="10" t="s">
        <v>368</v>
      </c>
      <c r="E59" s="10" t="s">
        <v>733</v>
      </c>
      <c r="F59" s="10" t="s">
        <v>434</v>
      </c>
      <c r="G59" s="10" t="s">
        <v>734</v>
      </c>
      <c r="H59" s="10" t="s">
        <v>735</v>
      </c>
      <c r="I59" s="10" t="s">
        <v>736</v>
      </c>
      <c r="J59" s="10" t="s">
        <v>397</v>
      </c>
      <c r="K59" s="10" t="s">
        <v>398</v>
      </c>
      <c r="L59" s="10" t="s">
        <v>737</v>
      </c>
      <c r="M59" s="10" t="s">
        <v>376</v>
      </c>
      <c r="N59" s="10" t="s">
        <v>129</v>
      </c>
    </row>
    <row r="60" spans="1:14" ht="111.75" customHeight="1" x14ac:dyDescent="0.2">
      <c r="A60" s="9" t="s">
        <v>738</v>
      </c>
      <c r="B60" s="10" t="s">
        <v>355</v>
      </c>
      <c r="C60" s="10" t="s">
        <v>739</v>
      </c>
      <c r="D60" s="10" t="s">
        <v>357</v>
      </c>
      <c r="E60" s="10" t="s">
        <v>740</v>
      </c>
      <c r="F60" s="10" t="s">
        <v>434</v>
      </c>
      <c r="G60" s="10" t="s">
        <v>741</v>
      </c>
      <c r="H60" s="10" t="s">
        <v>742</v>
      </c>
      <c r="I60" s="10" t="s">
        <v>624</v>
      </c>
      <c r="J60" s="10" t="s">
        <v>397</v>
      </c>
      <c r="K60" s="10" t="s">
        <v>283</v>
      </c>
      <c r="L60" s="10" t="s">
        <v>382</v>
      </c>
      <c r="M60" s="10" t="s">
        <v>376</v>
      </c>
      <c r="N60" s="10" t="s">
        <v>129</v>
      </c>
    </row>
    <row r="61" spans="1:14" ht="168" customHeight="1" x14ac:dyDescent="0.2">
      <c r="A61" s="9" t="s">
        <v>743</v>
      </c>
      <c r="B61" s="10" t="s">
        <v>355</v>
      </c>
      <c r="C61" s="10" t="s">
        <v>744</v>
      </c>
      <c r="D61" s="10" t="s">
        <v>357</v>
      </c>
      <c r="E61" s="10" t="s">
        <v>745</v>
      </c>
      <c r="F61" s="10" t="s">
        <v>434</v>
      </c>
      <c r="G61" s="10" t="s">
        <v>746</v>
      </c>
      <c r="H61" s="10" t="s">
        <v>747</v>
      </c>
      <c r="I61" s="10" t="s">
        <v>748</v>
      </c>
      <c r="J61" s="10" t="s">
        <v>749</v>
      </c>
      <c r="K61" s="10" t="s">
        <v>309</v>
      </c>
      <c r="L61" s="10" t="s">
        <v>750</v>
      </c>
      <c r="M61" s="10" t="s">
        <v>376</v>
      </c>
      <c r="N61" s="10" t="s">
        <v>129</v>
      </c>
    </row>
    <row r="62" spans="1:14" ht="69.75" customHeight="1" x14ac:dyDescent="0.2">
      <c r="A62" s="9" t="s">
        <v>751</v>
      </c>
      <c r="B62" s="10" t="s">
        <v>355</v>
      </c>
      <c r="C62" s="10" t="s">
        <v>752</v>
      </c>
      <c r="D62" s="10" t="s">
        <v>357</v>
      </c>
      <c r="E62" s="10" t="s">
        <v>753</v>
      </c>
      <c r="F62" s="10" t="s">
        <v>434</v>
      </c>
      <c r="G62" s="10" t="s">
        <v>754</v>
      </c>
      <c r="H62" s="10" t="s">
        <v>755</v>
      </c>
      <c r="I62" s="10" t="s">
        <v>164</v>
      </c>
      <c r="J62" s="10" t="s">
        <v>397</v>
      </c>
      <c r="K62" s="10" t="s">
        <v>283</v>
      </c>
      <c r="L62" s="10" t="s">
        <v>382</v>
      </c>
      <c r="M62" s="10" t="s">
        <v>376</v>
      </c>
      <c r="N62" s="10" t="s">
        <v>129</v>
      </c>
    </row>
    <row r="63" spans="1:14" ht="210" customHeight="1" x14ac:dyDescent="0.2">
      <c r="A63" s="9" t="s">
        <v>756</v>
      </c>
      <c r="B63" s="10" t="s">
        <v>355</v>
      </c>
      <c r="C63" s="10" t="s">
        <v>757</v>
      </c>
      <c r="D63" s="10" t="s">
        <v>357</v>
      </c>
      <c r="E63" s="10" t="s">
        <v>758</v>
      </c>
      <c r="F63" s="10" t="s">
        <v>359</v>
      </c>
      <c r="G63" s="10" t="s">
        <v>759</v>
      </c>
      <c r="H63" s="10" t="s">
        <v>760</v>
      </c>
      <c r="I63" s="10" t="s">
        <v>761</v>
      </c>
      <c r="J63" s="10" t="s">
        <v>762</v>
      </c>
      <c r="K63" s="10" t="s">
        <v>318</v>
      </c>
      <c r="L63" s="10" t="s">
        <v>763</v>
      </c>
      <c r="M63" s="10" t="s">
        <v>376</v>
      </c>
      <c r="N63" s="10" t="s">
        <v>129</v>
      </c>
    </row>
    <row r="64" spans="1:14" ht="45.75" customHeight="1" x14ac:dyDescent="0.2">
      <c r="A64" s="9" t="s">
        <v>764</v>
      </c>
      <c r="B64" s="10" t="s">
        <v>438</v>
      </c>
      <c r="C64" s="10" t="s">
        <v>765</v>
      </c>
      <c r="D64" s="10" t="s">
        <v>129</v>
      </c>
      <c r="E64" s="10" t="s">
        <v>766</v>
      </c>
      <c r="F64" s="10" t="s">
        <v>434</v>
      </c>
      <c r="G64" s="10" t="s">
        <v>767</v>
      </c>
      <c r="H64" s="10" t="s">
        <v>768</v>
      </c>
      <c r="I64" s="10" t="s">
        <v>769</v>
      </c>
      <c r="J64" s="10" t="s">
        <v>770</v>
      </c>
      <c r="K64" s="10" t="s">
        <v>771</v>
      </c>
      <c r="L64" s="10" t="s">
        <v>382</v>
      </c>
      <c r="M64" s="10" t="s">
        <v>366</v>
      </c>
      <c r="N64" s="10" t="s">
        <v>204</v>
      </c>
    </row>
  </sheetData>
  <mergeCells count="1">
    <mergeCell ref="A2:L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① World &amp; Scenario</vt:lpstr>
      <vt:lpstr>② Canonical Values</vt:lpstr>
      <vt:lpstr>③ Tasks</vt:lpstr>
      <vt:lpstr>④ Artifacts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kylie.toro@gmail.com</cp:lastModifiedBy>
  <cp:revision>0</cp:revision>
  <dcterms:created xsi:type="dcterms:W3CDTF">2026-08-17T20:20:19Z</dcterms:created>
  <dcterms:modified xsi:type="dcterms:W3CDTF">2026-08-28T21:23:42Z</dcterms:modified>
  <dc:language>en-US</dc:language>
</cp:coreProperties>
</file>